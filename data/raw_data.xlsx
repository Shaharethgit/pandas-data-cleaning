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ivate\555 sha\P\pandas-data-cleaning-project\data\"/>
    </mc:Choice>
  </mc:AlternateContent>
  <xr:revisionPtr revIDLastSave="0" documentId="13_ncr:1_{1F1E70F2-B944-4E46-8260-41DAAD74D7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84" i="1" l="1"/>
  <c r="I483" i="1"/>
  <c r="I480" i="1"/>
  <c r="I470" i="1"/>
  <c r="I467" i="1"/>
  <c r="I465" i="1"/>
  <c r="I461" i="1"/>
  <c r="I458" i="1"/>
  <c r="I453" i="1"/>
  <c r="I450" i="1"/>
  <c r="I446" i="1"/>
  <c r="I442" i="1"/>
  <c r="I439" i="1"/>
  <c r="I438" i="1"/>
  <c r="I429" i="1"/>
  <c r="I427" i="1"/>
  <c r="I422" i="1"/>
  <c r="I406" i="1"/>
  <c r="I403" i="1"/>
  <c r="I397" i="1"/>
  <c r="I395" i="1"/>
  <c r="I383" i="1"/>
  <c r="I375" i="1"/>
  <c r="I369" i="1"/>
  <c r="I363" i="1"/>
  <c r="I344" i="1"/>
  <c r="I343" i="1"/>
  <c r="I339" i="1"/>
  <c r="I328" i="1"/>
  <c r="I327" i="1"/>
  <c r="I319" i="1"/>
  <c r="I314" i="1"/>
  <c r="I293" i="1"/>
  <c r="I291" i="1"/>
  <c r="I279" i="1"/>
  <c r="I272" i="1"/>
  <c r="I263" i="1"/>
  <c r="I258" i="1"/>
  <c r="I256" i="1"/>
  <c r="I254" i="1"/>
  <c r="I253" i="1"/>
  <c r="I231" i="1"/>
  <c r="I206" i="1"/>
  <c r="I198" i="1"/>
  <c r="I196" i="1"/>
  <c r="I193" i="1"/>
  <c r="I192" i="1"/>
  <c r="I184" i="1"/>
  <c r="I179" i="1"/>
  <c r="I175" i="1"/>
  <c r="I171" i="1"/>
  <c r="I170" i="1"/>
  <c r="I165" i="1"/>
  <c r="I157" i="1"/>
  <c r="I151" i="1"/>
  <c r="I145" i="1"/>
  <c r="I137" i="1"/>
  <c r="I127" i="1"/>
  <c r="I126" i="1"/>
  <c r="I123" i="1"/>
  <c r="I121" i="1"/>
  <c r="I112" i="1"/>
  <c r="I108" i="1"/>
  <c r="I107" i="1"/>
  <c r="I102" i="1"/>
  <c r="I86" i="1"/>
  <c r="I80" i="1"/>
  <c r="I78" i="1"/>
  <c r="I72" i="1"/>
  <c r="I65" i="1"/>
  <c r="I54" i="1"/>
  <c r="I51" i="1"/>
  <c r="I50" i="1"/>
  <c r="I48" i="1"/>
  <c r="I46" i="1"/>
  <c r="I36" i="1"/>
  <c r="I33" i="1"/>
  <c r="I15" i="1"/>
  <c r="I13" i="1"/>
</calcChain>
</file>

<file path=xl/sharedStrings.xml><?xml version="1.0" encoding="utf-8"?>
<sst xmlns="http://schemas.openxmlformats.org/spreadsheetml/2006/main" count="3937" uniqueCount="1896">
  <si>
    <t xml:space="preserve"> Employee ID </t>
  </si>
  <si>
    <t>NAME</t>
  </si>
  <si>
    <t>Department</t>
  </si>
  <si>
    <t>Age</t>
  </si>
  <si>
    <t>Salary</t>
  </si>
  <si>
    <t>Bonus</t>
  </si>
  <si>
    <t>Join Date</t>
  </si>
  <si>
    <t>Email</t>
  </si>
  <si>
    <t>Phone</t>
  </si>
  <si>
    <t>Gender</t>
  </si>
  <si>
    <t>Status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</si>
  <si>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</si>
  <si>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</si>
  <si>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</si>
  <si>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</si>
  <si>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</si>
  <si>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</si>
  <si>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</si>
  <si>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</si>
  <si>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</si>
  <si>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</si>
  <si>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</si>
  <si>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</si>
  <si>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</si>
  <si>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</si>
  <si>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</si>
  <si>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 xml:space="preserve">  John Smith  </t>
  </si>
  <si>
    <t>MARY JOHNSON</t>
  </si>
  <si>
    <t xml:space="preserve">mohammed     hassan    </t>
  </si>
  <si>
    <t>David Wilson</t>
  </si>
  <si>
    <t>Lisa   Thomas</t>
  </si>
  <si>
    <t>james miller</t>
  </si>
  <si>
    <t>Emma Davis</t>
  </si>
  <si>
    <t>Unknown</t>
  </si>
  <si>
    <t>Olivia Martin</t>
  </si>
  <si>
    <t>IT</t>
  </si>
  <si>
    <t xml:space="preserve">it </t>
  </si>
  <si>
    <t>IT Department</t>
  </si>
  <si>
    <t>HR</t>
  </si>
  <si>
    <t>Human Resources</t>
  </si>
  <si>
    <t>sales</t>
  </si>
  <si>
    <t xml:space="preserve">Sales </t>
  </si>
  <si>
    <t>SALES</t>
  </si>
  <si>
    <t>Finance</t>
  </si>
  <si>
    <t xml:space="preserve">FINANCE </t>
  </si>
  <si>
    <t>finance</t>
  </si>
  <si>
    <t xml:space="preserve">HR </t>
  </si>
  <si>
    <t>Human Resource</t>
  </si>
  <si>
    <t>N/A</t>
  </si>
  <si>
    <t>twenty-eight</t>
  </si>
  <si>
    <t>unknown</t>
  </si>
  <si>
    <t>invalid</t>
  </si>
  <si>
    <t>2020/13/01</t>
  </si>
  <si>
    <t>sarakhan@gmail</t>
  </si>
  <si>
    <t>Male</t>
  </si>
  <si>
    <t>female</t>
  </si>
  <si>
    <t>M</t>
  </si>
  <si>
    <t>F</t>
  </si>
  <si>
    <t>Female</t>
  </si>
  <si>
    <t>m</t>
  </si>
  <si>
    <t>MALE</t>
  </si>
  <si>
    <t>Active</t>
  </si>
  <si>
    <t>ACTIVE</t>
  </si>
  <si>
    <t>Inactive</t>
  </si>
  <si>
    <t>INACTIVE</t>
  </si>
  <si>
    <t>active</t>
  </si>
  <si>
    <t>A</t>
  </si>
  <si>
    <t>I</t>
  </si>
  <si>
    <t>inactive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</si>
  <si>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</si>
  <si>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</si>
  <si>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</si>
  <si>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</si>
  <si>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</si>
  <si>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</si>
  <si>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</si>
  <si>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</si>
  <si>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</si>
  <si>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</si>
  <si>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</si>
  <si>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</si>
  <si>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</si>
  <si>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</si>
  <si>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</si>
  <si>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</si>
  <si>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</si>
  <si>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</si>
  <si>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</si>
  <si>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</si>
  <si>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</si>
  <si>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</si>
  <si>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</si>
  <si>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</si>
  <si>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</si>
  <si>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</si>
  <si>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</si>
  <si>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</si>
  <si>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</si>
  <si>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</si>
  <si>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</si>
  <si>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</si>
  <si>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</si>
  <si>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</si>
  <si>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</si>
  <si>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</si>
  <si>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</si>
  <si>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</si>
  <si>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</si>
  <si>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</si>
  <si>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</si>
  <si>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</si>
  <si>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</si>
  <si>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</si>
  <si>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</si>
  <si>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</si>
  <si>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</si>
  <si>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</si>
  <si>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</si>
  <si>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</si>
  <si>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</si>
  <si>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</si>
  <si>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</si>
  <si>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</si>
  <si>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</si>
  <si>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</si>
  <si>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</si>
  <si>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</si>
  <si>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</si>
  <si>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</si>
  <si>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</si>
  <si>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</si>
  <si>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</si>
  <si>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</si>
  <si>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</si>
  <si>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</si>
  <si>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</si>
  <si>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</si>
  <si>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</si>
  <si>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</si>
  <si>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</si>
  <si>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</si>
  <si>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</si>
  <si>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</si>
  <si>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</si>
  <si>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</si>
  <si>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</si>
  <si>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</si>
  <si>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</si>
  <si>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</si>
  <si>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</si>
  <si>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</si>
  <si>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</si>
  <si>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</si>
  <si>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</si>
  <si>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</si>
  <si>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</si>
  <si>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</si>
  <si>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</si>
  <si>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</si>
  <si>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</si>
  <si>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</si>
  <si>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</si>
  <si>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</si>
  <si>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</si>
  <si>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</si>
  <si>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</si>
  <si>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</si>
  <si>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</si>
  <si>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</si>
  <si>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</si>
  <si>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</si>
  <si>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</si>
  <si>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</si>
  <si>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</si>
  <si>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</si>
  <si>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</si>
  <si>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</si>
  <si>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</si>
  <si>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</si>
  <si>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</si>
  <si>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</si>
  <si>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</si>
  <si>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</si>
  <si>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</si>
  <si>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</si>
  <si>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</si>
  <si>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</si>
  <si>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</si>
  <si>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</si>
  <si>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</si>
  <si>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</si>
  <si>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</si>
  <si>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</si>
  <si>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</si>
  <si>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</si>
  <si>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</si>
  <si>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</si>
  <si>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</si>
  <si>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</si>
  <si>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</si>
  <si>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</si>
  <si>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</si>
  <si>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</si>
  <si>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</si>
  <si>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</si>
  <si>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</si>
  <si>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</si>
  <si>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</si>
  <si>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</si>
  <si>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</si>
  <si>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</si>
  <si>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</si>
  <si>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</si>
  <si>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</si>
  <si>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</si>
  <si>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</si>
  <si>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</si>
  <si>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</si>
  <si>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</si>
  <si>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</si>
  <si>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</si>
  <si>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</si>
  <si>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</si>
  <si>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</si>
  <si>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</si>
  <si>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</si>
  <si>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</si>
  <si>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</si>
  <si>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</si>
  <si>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</si>
  <si>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</si>
  <si>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</si>
  <si>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</si>
  <si>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</si>
  <si>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</si>
  <si>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</si>
  <si>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</si>
  <si>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</si>
  <si>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</si>
  <si>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</si>
  <si>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</si>
  <si>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</si>
  <si>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</si>
  <si>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</si>
  <si>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</si>
  <si>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</si>
  <si>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</si>
  <si>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</si>
  <si>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</si>
  <si>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</si>
  <si>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</si>
  <si>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</si>
  <si>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</si>
  <si>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</si>
  <si>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</si>
  <si>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</si>
  <si>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</si>
  <si>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</si>
  <si>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</si>
  <si>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</si>
  <si>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</si>
  <si>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</si>
  <si>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</si>
  <si>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</si>
  <si>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</si>
  <si>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</si>
  <si>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</si>
  <si>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</si>
  <si>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</si>
  <si>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</si>
  <si>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</si>
  <si>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</si>
  <si>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</si>
  <si>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</si>
  <si>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</si>
  <si>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</si>
  <si>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</si>
  <si>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</si>
  <si>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</si>
  <si>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</si>
  <si>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</si>
  <si>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</si>
  <si>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</si>
  <si>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</si>
  <si>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</si>
  <si>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</si>
  <si>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</si>
  <si>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</si>
  <si>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</si>
  <si>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</si>
  <si>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</si>
  <si>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</si>
  <si>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</si>
  <si>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</si>
  <si>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</si>
  <si>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</si>
  <si>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</si>
  <si>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</si>
  <si>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</si>
  <si>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</si>
  <si>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</si>
  <si>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</si>
  <si>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</si>
  <si>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</si>
  <si>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</si>
  <si>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</si>
  <si>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</si>
  <si>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</si>
  <si>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</si>
  <si>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</si>
  <si>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</si>
  <si>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</si>
  <si>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</si>
  <si>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</si>
  <si>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</si>
  <si>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</si>
  <si>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</si>
  <si>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</si>
  <si>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</si>
  <si>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</si>
  <si>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</si>
  <si>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</si>
  <si>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</si>
  <si>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</si>
  <si>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</si>
  <si>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</si>
  <si>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</si>
  <si>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</si>
  <si>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</si>
  <si>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</si>
  <si>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</si>
  <si>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</si>
  <si>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</si>
  <si>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</si>
  <si>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</si>
  <si>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</si>
  <si>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</si>
  <si>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</si>
  <si>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</si>
  <si>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</si>
  <si>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</si>
  <si>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</si>
  <si>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</si>
  <si>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</si>
  <si>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</si>
  <si>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</si>
  <si>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</si>
  <si>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</si>
  <si>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</si>
  <si>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</si>
  <si>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</si>
  <si>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</si>
  <si>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</si>
  <si>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</si>
  <si>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</si>
  <si>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</si>
  <si>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</si>
  <si>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</si>
  <si>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</si>
  <si>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</si>
  <si>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</si>
  <si>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</si>
  <si>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</si>
  <si>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</si>
  <si>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</si>
  <si>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</si>
  <si>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</si>
  <si>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</si>
  <si>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</si>
  <si>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</si>
  <si>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</si>
  <si>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</si>
  <si>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</si>
  <si>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</si>
  <si>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</si>
  <si>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</si>
  <si>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</si>
  <si>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</si>
  <si>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</si>
  <si>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</si>
  <si>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</si>
  <si>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</si>
  <si>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</si>
  <si>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</si>
  <si>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</si>
  <si>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</si>
  <si>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</si>
  <si>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</si>
  <si>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</si>
  <si>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</si>
  <si>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</si>
  <si>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</si>
  <si>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</si>
  <si>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</si>
  <si>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</si>
  <si>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</si>
  <si>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</si>
  <si>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</si>
  <si>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</si>
  <si>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</si>
  <si>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</si>
  <si>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</si>
  <si>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</si>
  <si>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</si>
  <si>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</si>
  <si>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</si>
  <si>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</si>
  <si>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</si>
  <si>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</si>
  <si>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</si>
  <si>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</si>
  <si>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</si>
  <si>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</si>
  <si>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</si>
  <si>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</si>
  <si>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</si>
  <si>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</si>
  <si>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</si>
  <si>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</si>
  <si>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</si>
  <si>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</si>
  <si>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</si>
  <si>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</si>
  <si>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</si>
  <si>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</si>
  <si>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</si>
  <si>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</si>
  <si>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</si>
  <si>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</si>
  <si>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</si>
  <si>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</si>
  <si>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</si>
  <si>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</si>
  <si>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</si>
  <si>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</si>
  <si>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</si>
  <si>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</si>
  <si>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</si>
  <si>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</si>
  <si>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</si>
  <si>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</si>
  <si>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</si>
  <si>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</si>
  <si>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</si>
  <si>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</si>
  <si>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</si>
  <si>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</si>
  <si>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</si>
  <si>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</si>
  <si>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</si>
  <si>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</si>
  <si>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</si>
  <si>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</si>
  <si>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</si>
  <si>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</si>
  <si>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</si>
  <si>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</si>
  <si>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</si>
  <si>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</si>
  <si>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</si>
  <si>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</si>
  <si>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</si>
  <si>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</si>
  <si>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</si>
  <si>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</si>
  <si>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</si>
  <si>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</si>
  <si>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</si>
  <si>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</si>
  <si>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</si>
  <si>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</si>
  <si>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</si>
  <si>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</si>
  <si>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</si>
  <si>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</si>
  <si>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</si>
  <si>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</si>
  <si>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</si>
  <si>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</si>
  <si>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</si>
  <si>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</si>
  <si>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</si>
  <si>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</si>
  <si>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</si>
  <si>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</si>
  <si>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</si>
  <si>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</si>
  <si>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</si>
  <si>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</si>
  <si>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</si>
  <si>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</si>
  <si>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</si>
  <si>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</si>
  <si>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</si>
  <si>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</si>
  <si>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</si>
  <si>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</si>
  <si>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</si>
  <si>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</si>
  <si>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</si>
  <si>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</si>
  <si>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</si>
  <si>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</si>
  <si>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</si>
  <si>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</si>
  <si>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</si>
  <si>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</si>
  <si>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</si>
  <si>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</si>
  <si>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</si>
  <si>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</si>
  <si>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</si>
  <si>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</si>
  <si>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</si>
  <si>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</si>
  <si>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</si>
  <si>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</si>
  <si>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</si>
  <si>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</si>
  <si>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</si>
  <si>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</si>
  <si>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</si>
  <si>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</si>
  <si>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</si>
  <si>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</si>
  <si>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</si>
  <si>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</si>
  <si>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</si>
  <si>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</si>
  <si>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</si>
  <si>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</si>
  <si>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</si>
  <si>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</si>
  <si>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</si>
  <si>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</si>
  <si>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</si>
  <si>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</si>
  <si>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</si>
  <si>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</si>
  <si>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</si>
  <si>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</si>
  <si>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</si>
  <si>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</si>
  <si>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</si>
  <si>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</si>
  <si>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</si>
  <si>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</si>
  <si>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</si>
  <si>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</si>
  <si>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</si>
  <si>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</si>
  <si>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E500</t>
  </si>
  <si>
    <t xml:space="preserve">   Sara Khan</t>
  </si>
  <si>
    <t xml:space="preserve">   Peter Parker</t>
  </si>
  <si>
    <t>Daniel Wilson</t>
  </si>
  <si>
    <t>AISHA KHAN</t>
  </si>
  <si>
    <t>michael brown</t>
  </si>
  <si>
    <t xml:space="preserve">  Fatima Ahmed</t>
  </si>
  <si>
    <t xml:space="preserve">William Taylor </t>
  </si>
  <si>
    <t>noura said</t>
  </si>
  <si>
    <t>Grace   Thomas</t>
  </si>
  <si>
    <t>OMAR HASSAN</t>
  </si>
  <si>
    <t>Mariam Saleh</t>
  </si>
  <si>
    <t xml:space="preserve">   Noah Williams</t>
  </si>
  <si>
    <t>Sophia Clark</t>
  </si>
  <si>
    <t>ARJUN PATEL</t>
  </si>
  <si>
    <t>yusuf rahman</t>
  </si>
  <si>
    <t xml:space="preserve">  Maya Lewis</t>
  </si>
  <si>
    <t>Liam Scott</t>
  </si>
  <si>
    <t>ZARA AHMED</t>
  </si>
  <si>
    <t>Khalid Omar</t>
  </si>
  <si>
    <t>Hana   Ali</t>
  </si>
  <si>
    <t>Peter Johnson</t>
  </si>
  <si>
    <t xml:space="preserve">  James Anderson</t>
  </si>
  <si>
    <t>Emily White</t>
  </si>
  <si>
    <t>DAVID MILLER</t>
  </si>
  <si>
    <t>sara ahmed</t>
  </si>
  <si>
    <t>Mohammed Khan</t>
  </si>
  <si>
    <t xml:space="preserve">  Olivia Taylor  </t>
  </si>
  <si>
    <t>Emma Wilson</t>
  </si>
  <si>
    <t>NOAH BROWN</t>
  </si>
  <si>
    <t>Aisha   Hassan</t>
  </si>
  <si>
    <t>Daniel Martin</t>
  </si>
  <si>
    <t>fatima ali</t>
  </si>
  <si>
    <t xml:space="preserve">  William Davis</t>
  </si>
  <si>
    <t>Mariam Khan</t>
  </si>
  <si>
    <t>LUCAS SMITH</t>
  </si>
  <si>
    <t>Noura Ahmed</t>
  </si>
  <si>
    <t xml:space="preserve">  Grace Wilson</t>
  </si>
  <si>
    <t>Omar Patel</t>
  </si>
  <si>
    <t>Sofia Hassan</t>
  </si>
  <si>
    <t>Yusuf Clark</t>
  </si>
  <si>
    <t>Maya   Thomas</t>
  </si>
  <si>
    <t>Khalid Johnson</t>
  </si>
  <si>
    <t xml:space="preserve">  Zara Miller</t>
  </si>
  <si>
    <t>Arjun Ahmed</t>
  </si>
  <si>
    <t>Hana Brown</t>
  </si>
  <si>
    <t>Liam   Parker</t>
  </si>
  <si>
    <t>Peter Davis</t>
  </si>
  <si>
    <t>JAMES WILSON</t>
  </si>
  <si>
    <t>Mary Taylor</t>
  </si>
  <si>
    <t>ahmed hassan</t>
  </si>
  <si>
    <t xml:space="preserve">  Emma Scott</t>
  </si>
  <si>
    <t>Robert   Khan</t>
  </si>
  <si>
    <t>Olivia Brown</t>
  </si>
  <si>
    <t>Daniel Ahmed</t>
  </si>
  <si>
    <t>noura ali</t>
  </si>
  <si>
    <t>Micheal Thomas</t>
  </si>
  <si>
    <t xml:space="preserve">  Aisha Rahman</t>
  </si>
  <si>
    <t>William Smith</t>
  </si>
  <si>
    <t>Mariam   Davis</t>
  </si>
  <si>
    <t>UNKNOWN</t>
  </si>
  <si>
    <t>Khalid Hassan</t>
  </si>
  <si>
    <t>Sofia Martin</t>
  </si>
  <si>
    <t xml:space="preserve">  Noah Johnson</t>
  </si>
  <si>
    <t>Zara Wilson</t>
  </si>
  <si>
    <t>Yusuf Ahmed</t>
  </si>
  <si>
    <t>Grace Brown</t>
  </si>
  <si>
    <t>Peter   Miller</t>
  </si>
  <si>
    <t>Maya Patel</t>
  </si>
  <si>
    <t>Omar Davis</t>
  </si>
  <si>
    <t xml:space="preserve">  Fatima Khan</t>
  </si>
  <si>
    <t>Liam Anderson</t>
  </si>
  <si>
    <t>Hana Thomas</t>
  </si>
  <si>
    <t>James Clark</t>
  </si>
  <si>
    <t>Emma   Hassan</t>
  </si>
  <si>
    <t>Daniel Smith</t>
  </si>
  <si>
    <t xml:space="preserve">  Mary Wilson</t>
  </si>
  <si>
    <t>Ahmed Taylor</t>
  </si>
  <si>
    <t>Olivia Ahmed</t>
  </si>
  <si>
    <t>Robert   Martin</t>
  </si>
  <si>
    <t>Noura Khan</t>
  </si>
  <si>
    <t>Mariam Brown</t>
  </si>
  <si>
    <t>Yusuf Ali</t>
  </si>
  <si>
    <t xml:space="preserve">  Sophia Davis</t>
  </si>
  <si>
    <t>Khalid Scott</t>
  </si>
  <si>
    <t>Aisha Miller</t>
  </si>
  <si>
    <t>Peter Hassan</t>
  </si>
  <si>
    <t>Grace   Patel</t>
  </si>
  <si>
    <t>Liam Johnson</t>
  </si>
  <si>
    <t>Zara Thomas</t>
  </si>
  <si>
    <t xml:space="preserve">  Omar Smith</t>
  </si>
  <si>
    <t>Hana Ahmed</t>
  </si>
  <si>
    <t>James   Davis</t>
  </si>
  <si>
    <t>Emma Brown</t>
  </si>
  <si>
    <t>Daniel Khan</t>
  </si>
  <si>
    <t>Maya Wilson</t>
  </si>
  <si>
    <t xml:space="preserve">  William Hassan</t>
  </si>
  <si>
    <t>Sofia Taylor</t>
  </si>
  <si>
    <t>Ahmed Martin</t>
  </si>
  <si>
    <t>Olivia   Scott</t>
  </si>
  <si>
    <t>Noah Ahmed</t>
  </si>
  <si>
    <t>Fatima Wilson</t>
  </si>
  <si>
    <t>Peter Khan</t>
  </si>
  <si>
    <t xml:space="preserve">  Noura Brown</t>
  </si>
  <si>
    <t>Khalid Davis</t>
  </si>
  <si>
    <t>Grace Ahmed</t>
  </si>
  <si>
    <t>Mariam   Thomas</t>
  </si>
  <si>
    <t>Yusuf Miller</t>
  </si>
  <si>
    <t>Liam Patel</t>
  </si>
  <si>
    <t xml:space="preserve">  Sara Wilson</t>
  </si>
  <si>
    <t>Robert Ahmed</t>
  </si>
  <si>
    <t>Hana Khan</t>
  </si>
  <si>
    <t>James Brown</t>
  </si>
  <si>
    <t xml:space="preserve">  Emma Martin</t>
  </si>
  <si>
    <t>Daniel Taylor</t>
  </si>
  <si>
    <t>Aisha   Scott</t>
  </si>
  <si>
    <t>Omar Johnson</t>
  </si>
  <si>
    <t>Zara Patel</t>
  </si>
  <si>
    <t>William Ali</t>
  </si>
  <si>
    <t xml:space="preserve">  Maya Hassan</t>
  </si>
  <si>
    <t>Noah Davis</t>
  </si>
  <si>
    <t>Sofia Smith</t>
  </si>
  <si>
    <t>Khalid   Brown</t>
  </si>
  <si>
    <t>Peter Ahmed</t>
  </si>
  <si>
    <t>Mariam Wilson</t>
  </si>
  <si>
    <t xml:space="preserve">  Yusuf Thomas</t>
  </si>
  <si>
    <t>Grace Khan</t>
  </si>
  <si>
    <t>Liam Ahmed</t>
  </si>
  <si>
    <t>Olivia Davis</t>
  </si>
  <si>
    <t>James   Hassan</t>
  </si>
  <si>
    <t xml:space="preserve">  Fatima Martin</t>
  </si>
  <si>
    <t>Robert Taylor</t>
  </si>
  <si>
    <t>Hana Wilson</t>
  </si>
  <si>
    <t>Ahmed Scott</t>
  </si>
  <si>
    <t>Noura   Thomas</t>
  </si>
  <si>
    <t>Daniel Brown</t>
  </si>
  <si>
    <t>Maya Ahmed</t>
  </si>
  <si>
    <t>Peter Patel</t>
  </si>
  <si>
    <t xml:space="preserve">  Zara Khan</t>
  </si>
  <si>
    <t>William Wilson</t>
  </si>
  <si>
    <t>Sofia Ali</t>
  </si>
  <si>
    <t>Khalid Martin</t>
  </si>
  <si>
    <t>Emma   Ahmed</t>
  </si>
  <si>
    <t>Omar Brown</t>
  </si>
  <si>
    <t xml:space="preserve">  Aisha Davis</t>
  </si>
  <si>
    <t>Yusuf Johnson</t>
  </si>
  <si>
    <t>Liam Thomas</t>
  </si>
  <si>
    <t>Mariam Ahmed</t>
  </si>
  <si>
    <t>Noah   Hassan</t>
  </si>
  <si>
    <t xml:space="preserve">  James Patel</t>
  </si>
  <si>
    <t>Grace Martin</t>
  </si>
  <si>
    <t>Olivia Khan</t>
  </si>
  <si>
    <t>Daniel Davis</t>
  </si>
  <si>
    <t xml:space="preserve">  Sara Brown</t>
  </si>
  <si>
    <t>Peter Wilson</t>
  </si>
  <si>
    <t>Fatima Thomas</t>
  </si>
  <si>
    <t>Yusuf Smith</t>
  </si>
  <si>
    <t>Maya   Johnson</t>
  </si>
  <si>
    <t>Khalid Ahmed</t>
  </si>
  <si>
    <t>Noura Taylor</t>
  </si>
  <si>
    <t xml:space="preserve">  Robert Scott</t>
  </si>
  <si>
    <t>Hana Martin</t>
  </si>
  <si>
    <t>William Brown</t>
  </si>
  <si>
    <t>Aisha Ahmed</t>
  </si>
  <si>
    <t xml:space="preserve">  Sofia Wilson</t>
  </si>
  <si>
    <t>Omar Khan</t>
  </si>
  <si>
    <t>Emma Thomas</t>
  </si>
  <si>
    <t>Liam Brown</t>
  </si>
  <si>
    <t xml:space="preserve">  Mary Ahmed</t>
  </si>
  <si>
    <t>Daniel Patel</t>
  </si>
  <si>
    <t>Mariam Scott</t>
  </si>
  <si>
    <t>Yusuf Wilson</t>
  </si>
  <si>
    <t>Zara Davis</t>
  </si>
  <si>
    <t xml:space="preserve">  Peter Thomas</t>
  </si>
  <si>
    <t>Noah Martin</t>
  </si>
  <si>
    <t>Fatima Brown</t>
  </si>
  <si>
    <t>Grace   Ali</t>
  </si>
  <si>
    <t>Khalid Taylor</t>
  </si>
  <si>
    <t>Olivia Hassan</t>
  </si>
  <si>
    <t xml:space="preserve">  James Ahmed</t>
  </si>
  <si>
    <t>Hana Davis</t>
  </si>
  <si>
    <t>Maya Smith</t>
  </si>
  <si>
    <t>William Khan</t>
  </si>
  <si>
    <t>Sara   Thomas</t>
  </si>
  <si>
    <t>Omar Ahmed</t>
  </si>
  <si>
    <t xml:space="preserve">  Aisha Brown</t>
  </si>
  <si>
    <t>Liam Martin</t>
  </si>
  <si>
    <t>Sofia Khan</t>
  </si>
  <si>
    <t>Yusuf Davis</t>
  </si>
  <si>
    <t>Peter   Ahmed</t>
  </si>
  <si>
    <t>Mariam Johnson</t>
  </si>
  <si>
    <t xml:space="preserve">  Robert Wilson</t>
  </si>
  <si>
    <t>Emma Khan</t>
  </si>
  <si>
    <t>Noah Taylor</t>
  </si>
  <si>
    <t>Fatima Scott</t>
  </si>
  <si>
    <t xml:space="preserve">  Khalid Ali</t>
  </si>
  <si>
    <t>Zara Brown</t>
  </si>
  <si>
    <t>Hana Hassan</t>
  </si>
  <si>
    <t>James Thomas</t>
  </si>
  <si>
    <t>Maya Davis</t>
  </si>
  <si>
    <t xml:space="preserve">  William Ahmed</t>
  </si>
  <si>
    <t>Noura Wilson</t>
  </si>
  <si>
    <t>Omar Martin</t>
  </si>
  <si>
    <t>Sofia   Brown</t>
  </si>
  <si>
    <t>Daniel Hassan</t>
  </si>
  <si>
    <t>Peter Taylor</t>
  </si>
  <si>
    <t xml:space="preserve">  Aisha Smith</t>
  </si>
  <si>
    <t>Liam Davis</t>
  </si>
  <si>
    <t>Mariam Ali</t>
  </si>
  <si>
    <t>Grace Thomas</t>
  </si>
  <si>
    <t xml:space="preserve">  Yusuf Khan</t>
  </si>
  <si>
    <t>Olivia Wilson</t>
  </si>
  <si>
    <t>Khalid Patel</t>
  </si>
  <si>
    <t>Hana Scott</t>
  </si>
  <si>
    <t>Sara Ahmed</t>
  </si>
  <si>
    <t xml:space="preserve">  Noah Brown</t>
  </si>
  <si>
    <t>James Miller</t>
  </si>
  <si>
    <t>Fatima Hassan</t>
  </si>
  <si>
    <t>Emma   Patel</t>
  </si>
  <si>
    <t>Robert Davis</t>
  </si>
  <si>
    <t xml:space="preserve">  Maya Martin</t>
  </si>
  <si>
    <t>William Thomas</t>
  </si>
  <si>
    <t>Zara Hassan</t>
  </si>
  <si>
    <t>Omar Scott</t>
  </si>
  <si>
    <t>Sofia Ahmed</t>
  </si>
  <si>
    <t xml:space="preserve">  Peter Brown</t>
  </si>
  <si>
    <t>Noura Davis</t>
  </si>
  <si>
    <t>Liam Wilson</t>
  </si>
  <si>
    <t>Hana Taylor</t>
  </si>
  <si>
    <t>Khalid Khan</t>
  </si>
  <si>
    <t xml:space="preserve">  Daniel Martin</t>
  </si>
  <si>
    <t>Aisha Thomas</t>
  </si>
  <si>
    <t>Yusuf Brown</t>
  </si>
  <si>
    <t>Emma Smith</t>
  </si>
  <si>
    <t>Mariam   Hassan</t>
  </si>
  <si>
    <t xml:space="preserve">  Robert Ali</t>
  </si>
  <si>
    <t>Olivia Miller</t>
  </si>
  <si>
    <t>Noah Patel</t>
  </si>
  <si>
    <t>Grace Davis</t>
  </si>
  <si>
    <t>Sara   Khan</t>
  </si>
  <si>
    <t>William Martin</t>
  </si>
  <si>
    <t xml:space="preserve">  Maya Thomas</t>
  </si>
  <si>
    <t>Khalid Wilson</t>
  </si>
  <si>
    <t>Fatima Ahmed</t>
  </si>
  <si>
    <t>Peter Scott</t>
  </si>
  <si>
    <t>Zara Johnson</t>
  </si>
  <si>
    <t xml:space="preserve">  Omar Taylor</t>
  </si>
  <si>
    <t>Sofia Davis</t>
  </si>
  <si>
    <t>James Khan</t>
  </si>
  <si>
    <t>Yusuf Martin</t>
  </si>
  <si>
    <t xml:space="preserve">  Liam Hassan</t>
  </si>
  <si>
    <t>Emma Ali</t>
  </si>
  <si>
    <t>Daniel Thomas</t>
  </si>
  <si>
    <t>Noura Smith</t>
  </si>
  <si>
    <t>Mariam   Patel</t>
  </si>
  <si>
    <t xml:space="preserve">  Robert Brown</t>
  </si>
  <si>
    <t>Aisha Wilson</t>
  </si>
  <si>
    <t>Khalid Thomas</t>
  </si>
  <si>
    <t>Omar Ali</t>
  </si>
  <si>
    <t>Zara Martin</t>
  </si>
  <si>
    <t>James   Taylor</t>
  </si>
  <si>
    <t xml:space="preserve">  Fatima Wilson</t>
  </si>
  <si>
    <t>Noah Smith</t>
  </si>
  <si>
    <t>Yusuf Patel</t>
  </si>
  <si>
    <t xml:space="preserve">  Sara Miller</t>
  </si>
  <si>
    <t>Mariam Thomas</t>
  </si>
  <si>
    <t>Khalid Brown</t>
  </si>
  <si>
    <t xml:space="preserve">  Aisha Khan</t>
  </si>
  <si>
    <t>Peter Martin</t>
  </si>
  <si>
    <t>Olivia Taylor</t>
  </si>
  <si>
    <t>Grace Wilson</t>
  </si>
  <si>
    <t xml:space="preserve">  Robert Patel</t>
  </si>
  <si>
    <t>Hana Johnson</t>
  </si>
  <si>
    <t>Maya Brown</t>
  </si>
  <si>
    <t>William Scott</t>
  </si>
  <si>
    <t xml:space="preserve">  Omar Wilson</t>
  </si>
  <si>
    <t>James Ahmed</t>
  </si>
  <si>
    <t>Noura Hassan</t>
  </si>
  <si>
    <t>Liam Taylor</t>
  </si>
  <si>
    <t>Zara Ali</t>
  </si>
  <si>
    <t xml:space="preserve">  Emma Davis</t>
  </si>
  <si>
    <t>Khalid Smith</t>
  </si>
  <si>
    <t>Aisha Martin</t>
  </si>
  <si>
    <t xml:space="preserve">  Mariam Wilson</t>
  </si>
  <si>
    <t>Yusuf Thomas</t>
  </si>
  <si>
    <t xml:space="preserve">  William Taylor</t>
  </si>
  <si>
    <t>Hana Ali</t>
  </si>
  <si>
    <t>Sara Patel</t>
  </si>
  <si>
    <t xml:space="preserve">  James Hassan</t>
  </si>
  <si>
    <t>Fatima Miller</t>
  </si>
  <si>
    <t>Zara Smith</t>
  </si>
  <si>
    <t xml:space="preserve">  Noura Thomas</t>
  </si>
  <si>
    <t>Emma Hassan</t>
  </si>
  <si>
    <t>Robert Khan</t>
  </si>
  <si>
    <t>Mariam Davis</t>
  </si>
  <si>
    <t xml:space="preserve">  Yusuf Ali</t>
  </si>
  <si>
    <t>Sofia Scott</t>
  </si>
  <si>
    <t>Aisha Taylor</t>
  </si>
  <si>
    <t xml:space="preserve">  Grace Brown</t>
  </si>
  <si>
    <t>Noah Thomas</t>
  </si>
  <si>
    <t>James Davis</t>
  </si>
  <si>
    <t>Maya Khan</t>
  </si>
  <si>
    <t xml:space="preserve">  Peter Wilson</t>
  </si>
  <si>
    <t>William Ahmed</t>
  </si>
  <si>
    <t>Sara Brown</t>
  </si>
  <si>
    <t xml:space="preserve">  Fatima Ali</t>
  </si>
  <si>
    <t>Noura Martin</t>
  </si>
  <si>
    <t xml:space="preserve">  Emma Taylor</t>
  </si>
  <si>
    <t>Daniel Scott</t>
  </si>
  <si>
    <t>Aisha Davis</t>
  </si>
  <si>
    <t xml:space="preserve">  Peter Miller</t>
  </si>
  <si>
    <t>Sofia Johnson</t>
  </si>
  <si>
    <t xml:space="preserve">  Omar Ahmed</t>
  </si>
  <si>
    <t>Grace Smith</t>
  </si>
  <si>
    <t>Noah Hassan</t>
  </si>
  <si>
    <t xml:space="preserve">  James Martin</t>
  </si>
  <si>
    <t>Fatima Khan</t>
  </si>
  <si>
    <t>Sara Davis</t>
  </si>
  <si>
    <t xml:space="preserve">  Noura Ali</t>
  </si>
  <si>
    <t>Peter Thomas</t>
  </si>
  <si>
    <t>Emma Johnson</t>
  </si>
  <si>
    <t>Zara Ahmed</t>
  </si>
  <si>
    <t>Mariam Smith</t>
  </si>
  <si>
    <t xml:space="preserve">  Daniel Patel</t>
  </si>
  <si>
    <t>Aisha Hassan</t>
  </si>
  <si>
    <t xml:space="preserve">  Hana Wilson</t>
  </si>
  <si>
    <t>Maya Scott</t>
  </si>
  <si>
    <t xml:space="preserve">  Liam Brown</t>
  </si>
  <si>
    <t>Fatima Davis</t>
  </si>
  <si>
    <t>James Wilson</t>
  </si>
  <si>
    <t xml:space="preserve">  Noura Hassan</t>
  </si>
  <si>
    <t>Mariam Taylor</t>
  </si>
  <si>
    <t>Daniel Ali</t>
  </si>
  <si>
    <t>Zara Scott</t>
  </si>
  <si>
    <t xml:space="preserve">  Sara Thomas</t>
  </si>
  <si>
    <t>Aisha Patel</t>
  </si>
  <si>
    <t>Noah Wilson</t>
  </si>
  <si>
    <t>Emma Ahmed</t>
  </si>
  <si>
    <t xml:space="preserve">  Omar Hassan</t>
  </si>
  <si>
    <t>Hana Miller</t>
  </si>
  <si>
    <t>Maya Thomas</t>
  </si>
  <si>
    <t>Yusuf Khan</t>
  </si>
  <si>
    <t xml:space="preserve">  Robert Ahmed</t>
  </si>
  <si>
    <t>Sofia Brown</t>
  </si>
  <si>
    <t>Noura Johnson</t>
  </si>
  <si>
    <t xml:space="preserve">  Daniel Hassan</t>
  </si>
  <si>
    <t>Zara Taylor</t>
  </si>
  <si>
    <t>James Scott</t>
  </si>
  <si>
    <t xml:space="preserve">  William Thomas</t>
  </si>
  <si>
    <t>Olivia Patel</t>
  </si>
  <si>
    <t>Peter Brown</t>
  </si>
  <si>
    <t xml:space="preserve">  Maya Davis</t>
  </si>
  <si>
    <t>Emma Scott</t>
  </si>
  <si>
    <t xml:space="preserve">  Liam Taylor</t>
  </si>
  <si>
    <t>Sofia Wilson</t>
  </si>
  <si>
    <t>Daniel Miller</t>
  </si>
  <si>
    <t>Sara Hassan</t>
  </si>
  <si>
    <t xml:space="preserve">  Noah Ahmed</t>
  </si>
  <si>
    <t>William Patel</t>
  </si>
  <si>
    <t xml:space="preserve">  James Johnson</t>
  </si>
  <si>
    <t>Aisha Ali</t>
  </si>
  <si>
    <t>Olivia Smith</t>
  </si>
  <si>
    <t xml:space="preserve">  Yusuf Hassan</t>
  </si>
  <si>
    <t>Omar Thomas</t>
  </si>
  <si>
    <t>Hana Patel</t>
  </si>
  <si>
    <t xml:space="preserve">  Daniel Brown</t>
  </si>
  <si>
    <t xml:space="preserve">  Fatima Scott</t>
  </si>
  <si>
    <t>Mariam Hassan</t>
  </si>
  <si>
    <t xml:space="preserve">  James Thomas</t>
  </si>
  <si>
    <t>Aisha Brown</t>
  </si>
  <si>
    <t>Noah Miller</t>
  </si>
  <si>
    <t xml:space="preserve">  Sara Ahmed</t>
  </si>
  <si>
    <t>Grace Taylor</t>
  </si>
  <si>
    <t>Maya Ali</t>
  </si>
  <si>
    <t>Operations</t>
  </si>
  <si>
    <t xml:space="preserve">operations </t>
  </si>
  <si>
    <t>OPERATIONS</t>
  </si>
  <si>
    <t>Marketing</t>
  </si>
  <si>
    <t xml:space="preserve">marketing </t>
  </si>
  <si>
    <t>MARKETING</t>
  </si>
  <si>
    <t>it</t>
  </si>
  <si>
    <t xml:space="preserve">Human Resources </t>
  </si>
  <si>
    <t>Sales</t>
  </si>
  <si>
    <t xml:space="preserve">sales </t>
  </si>
  <si>
    <t xml:space="preserve">finance </t>
  </si>
  <si>
    <t>FINANCE</t>
  </si>
  <si>
    <t xml:space="preserve">IT </t>
  </si>
  <si>
    <t xml:space="preserve">Marketing </t>
  </si>
  <si>
    <t>operations</t>
  </si>
  <si>
    <t xml:space="preserve">Operations </t>
  </si>
  <si>
    <t xml:space="preserve">Finance </t>
  </si>
  <si>
    <t>marketing</t>
  </si>
  <si>
    <t xml:space="preserve">SALES </t>
  </si>
  <si>
    <t>thirty</t>
  </si>
  <si>
    <t>blank</t>
  </si>
  <si>
    <t>thirty-five</t>
  </si>
  <si>
    <t>twenty-five</t>
  </si>
  <si>
    <t>twenty-seven</t>
  </si>
  <si>
    <t>thirty-one</t>
  </si>
  <si>
    <t>twenty-nine</t>
  </si>
  <si>
    <t>twenty-four</t>
  </si>
  <si>
    <t>twenty-six</t>
  </si>
  <si>
    <t>twenty-three</t>
  </si>
  <si>
    <t>twenty-two</t>
  </si>
  <si>
    <t>thirty-three</t>
  </si>
  <si>
    <t>twenty-one</t>
  </si>
  <si>
    <t>noor.martin@hotmail.com</t>
  </si>
  <si>
    <t>null</t>
  </si>
  <si>
    <t>joseph.yusuf@gmail.com</t>
  </si>
  <si>
    <t>+974 7824 2882</t>
  </si>
  <si>
    <t>f</t>
  </si>
  <si>
    <t>?</t>
  </si>
  <si>
    <t>daniel.johnson@yahoo.com</t>
  </si>
  <si>
    <t>18-05-2024</t>
  </si>
  <si>
    <t>ali.thomas@hotmail.com</t>
  </si>
  <si>
    <t>+974 5995 1676</t>
  </si>
  <si>
    <t xml:space="preserve"> active </t>
  </si>
  <si>
    <t>aisha.johnson@yahoo.com</t>
  </si>
  <si>
    <t xml:space="preserve"> 6028 1693 </t>
  </si>
  <si>
    <t>not available</t>
  </si>
  <si>
    <t>peter.wilson@company.com</t>
  </si>
  <si>
    <t>September 13 2020</t>
  </si>
  <si>
    <t xml:space="preserve"> zainab.martin@yahoo.com </t>
  </si>
  <si>
    <t>+974 3313 8535</t>
  </si>
  <si>
    <t xml:space="preserve"> 2020-05-19 </t>
  </si>
  <si>
    <t>adam.anderson@yahoo.com</t>
  </si>
  <si>
    <t>FEMALE</t>
  </si>
  <si>
    <t>not known</t>
  </si>
  <si>
    <t>john.yusuf@outlook.com</t>
  </si>
  <si>
    <t>+974 5565 2786</t>
  </si>
  <si>
    <t>james.martin@outlook.com</t>
  </si>
  <si>
    <t>23-02-2023</t>
  </si>
  <si>
    <t>lisa.brown@outlook.com</t>
  </si>
  <si>
    <t>aisha.brown@gmail.com</t>
  </si>
  <si>
    <t>14-10-2019</t>
  </si>
  <si>
    <t>lisa.ahmed@hotmail.com</t>
  </si>
  <si>
    <t>July 02 2022</t>
  </si>
  <si>
    <t>adam.thomas@hotmail.com</t>
  </si>
  <si>
    <t>974-7254-5481</t>
  </si>
  <si>
    <t>June 06 2022</t>
  </si>
  <si>
    <t>mary.saleh@hotmail.com</t>
  </si>
  <si>
    <t>+974 4086 3541</t>
  </si>
  <si>
    <t>emma.taylor@company.com</t>
  </si>
  <si>
    <t>+974 7820 6662</t>
  </si>
  <si>
    <t>ryan.brown@company.com</t>
  </si>
  <si>
    <t>In Active</t>
  </si>
  <si>
    <t>20-01-2019</t>
  </si>
  <si>
    <t>emma.khan@company.com</t>
  </si>
  <si>
    <t>male</t>
  </si>
  <si>
    <t>26-02-2020</t>
  </si>
  <si>
    <t>adam.johnson@company.com</t>
  </si>
  <si>
    <t xml:space="preserve"> 7830 3867 </t>
  </si>
  <si>
    <t>NULL</t>
  </si>
  <si>
    <t>john.martin@gmail.com</t>
  </si>
  <si>
    <t>27-08-2020</t>
  </si>
  <si>
    <t>thomas.khalidgmail.com</t>
  </si>
  <si>
    <t>974-5805-2453</t>
  </si>
  <si>
    <t>john..smith@gmail.com</t>
  </si>
  <si>
    <t>+974 3062 4789</t>
  </si>
  <si>
    <t>None</t>
  </si>
  <si>
    <t>27-09-2022</t>
  </si>
  <si>
    <t>michael.johnson@gmail.com</t>
  </si>
  <si>
    <t xml:space="preserve"> 4862 5689 </t>
  </si>
  <si>
    <t>n/a</t>
  </si>
  <si>
    <t>November 22 2020</t>
  </si>
  <si>
    <t>maya.anderson@outlook.com</t>
  </si>
  <si>
    <t xml:space="preserve"> other </t>
  </si>
  <si>
    <t xml:space="preserve"> NULL </t>
  </si>
  <si>
    <t>amira.hassan@hotmail.com</t>
  </si>
  <si>
    <t>974-5985-8892</t>
  </si>
  <si>
    <t>20/08/2021</t>
  </si>
  <si>
    <t>james.yusuf@hotmail.com</t>
  </si>
  <si>
    <t>974-4526-5714</t>
  </si>
  <si>
    <t>April 05 2021</t>
  </si>
  <si>
    <t>lina.miller@yahoo.com</t>
  </si>
  <si>
    <t>974-7194-1962</t>
  </si>
  <si>
    <t>james.wilson@hotmail.com</t>
  </si>
  <si>
    <t>27-07-2023</t>
  </si>
  <si>
    <t>joseph.parker@outlook.com</t>
  </si>
  <si>
    <t>974-5193-2382</t>
  </si>
  <si>
    <t xml:space="preserve"> 2022-04-16 </t>
  </si>
  <si>
    <t>emma.yusuf@gmail.com</t>
  </si>
  <si>
    <t>30-12-2021</t>
  </si>
  <si>
    <t>john.mooreyahoo.com</t>
  </si>
  <si>
    <t>974-5230-6812</t>
  </si>
  <si>
    <t>noemail@</t>
  </si>
  <si>
    <t>974-7121-7651</t>
  </si>
  <si>
    <t>May 09 2021</t>
  </si>
  <si>
    <t>maya.martin@hotmail.com</t>
  </si>
  <si>
    <t xml:space="preserve"> 7028 3213 </t>
  </si>
  <si>
    <t>emma.wilson@yahoo.com</t>
  </si>
  <si>
    <t>974-3772-5541</t>
  </si>
  <si>
    <t>maya.wilson@yahoo.com</t>
  </si>
  <si>
    <t xml:space="preserve"> 5465 9758 </t>
  </si>
  <si>
    <t>27/06/2022</t>
  </si>
  <si>
    <t>ahmed.martin@yahoo.com</t>
  </si>
  <si>
    <t>lina.moore@gmail.com</t>
  </si>
  <si>
    <t>974-3591-2401</t>
  </si>
  <si>
    <t>June 05 2019</t>
  </si>
  <si>
    <t>emma.moore@gmail.com</t>
  </si>
  <si>
    <t>+974 3354 8901</t>
  </si>
  <si>
    <t>james.moore@outlook.com</t>
  </si>
  <si>
    <t>amira.brown@yahoo.com</t>
  </si>
  <si>
    <t>974-4444-2349</t>
  </si>
  <si>
    <t xml:space="preserve"> </t>
  </si>
  <si>
    <t>ali.rahman@yahoo.com</t>
  </si>
  <si>
    <t>lina..thomas@yahoo.com</t>
  </si>
  <si>
    <t>974-7044-8970</t>
  </si>
  <si>
    <t>invalid-email</t>
  </si>
  <si>
    <t xml:space="preserve"> 2019-12-19 </t>
  </si>
  <si>
    <t>emma..johnson@gmail.com</t>
  </si>
  <si>
    <t xml:space="preserve"> 2019-01-10 </t>
  </si>
  <si>
    <t>adam.parker@yahoo.com</t>
  </si>
  <si>
    <t>peter.hassan@yahoo.com</t>
  </si>
  <si>
    <t>974-5536-8822</t>
  </si>
  <si>
    <t>david.smithyahoo.com</t>
  </si>
  <si>
    <t>zainab.yusuf@company.com</t>
  </si>
  <si>
    <t xml:space="preserve"> 2020-12-01 </t>
  </si>
  <si>
    <t>emma.smith@yahoo.com</t>
  </si>
  <si>
    <t>mohammed.ali@company.com</t>
  </si>
  <si>
    <t>+974 7647 7735</t>
  </si>
  <si>
    <t>20-05-2024</t>
  </si>
  <si>
    <t>joseph.thomas@company.com</t>
  </si>
  <si>
    <t>974-6270-1373</t>
  </si>
  <si>
    <t>23-12-2023</t>
  </si>
  <si>
    <t>john.anderson@outlook.com</t>
  </si>
  <si>
    <t>974-3208-2664</t>
  </si>
  <si>
    <t xml:space="preserve"> 2019-09-20 </t>
  </si>
  <si>
    <t>layla.anderson@outlook.com</t>
  </si>
  <si>
    <t xml:space="preserve"> 5791 2693 </t>
  </si>
  <si>
    <t>ali.brown@gmail.com</t>
  </si>
  <si>
    <t>974-7282-1892</t>
  </si>
  <si>
    <t>ryan.rahman@yahoo.com</t>
  </si>
  <si>
    <t xml:space="preserve"> 2021-11-06 </t>
  </si>
  <si>
    <t>ahmed.wilson@outlook.com</t>
  </si>
  <si>
    <t xml:space="preserve"> 4205 8835 </t>
  </si>
  <si>
    <t>daniel.ali@hotmail.com</t>
  </si>
  <si>
    <t xml:space="preserve"> 7445 7322 </t>
  </si>
  <si>
    <t>31/12/2023</t>
  </si>
  <si>
    <t>hana.khan@gmail.com</t>
  </si>
  <si>
    <t>18-07-2021</t>
  </si>
  <si>
    <t>13/04/2021</t>
  </si>
  <si>
    <t>noor.yusuf@hotmail.com</t>
  </si>
  <si>
    <t xml:space="preserve"> 7134 7961 </t>
  </si>
  <si>
    <t>31-08-2024</t>
  </si>
  <si>
    <t>ryan.brownoutlook.com</t>
  </si>
  <si>
    <t>16/03/2021</t>
  </si>
  <si>
    <t>omar.parker@yahoo.com</t>
  </si>
  <si>
    <t>+974 7197 3630</t>
  </si>
  <si>
    <t>fatima.smith@company.com</t>
  </si>
  <si>
    <t>+974 4088 1236</t>
  </si>
  <si>
    <t>robert.rahman@outlook.com</t>
  </si>
  <si>
    <t>noor.hassan@gmail.com</t>
  </si>
  <si>
    <t>974-3434-8711</t>
  </si>
  <si>
    <t>18/08/2019</t>
  </si>
  <si>
    <t>joseph.hassan@yahoo.com</t>
  </si>
  <si>
    <t>amira.khalid@hotmail.com</t>
  </si>
  <si>
    <t>daniel.wilson@yahoo.com</t>
  </si>
  <si>
    <t>974-3671-8957</t>
  </si>
  <si>
    <t>olivia.thomas@yahoo.com</t>
  </si>
  <si>
    <t>peter.parker@yahoo.com</t>
  </si>
  <si>
    <t>daniel.moore@company.com</t>
  </si>
  <si>
    <t>974-3264-6670</t>
  </si>
  <si>
    <t>lina.taylorcompany.com</t>
  </si>
  <si>
    <t>emma.johnson@company.com</t>
  </si>
  <si>
    <t>robert.wilson@hotmail.com</t>
  </si>
  <si>
    <t>fatima.khalid@company.com</t>
  </si>
  <si>
    <t>maya.khalid@hotmail.com</t>
  </si>
  <si>
    <t>+974 6393 1873</t>
  </si>
  <si>
    <t>mary.hassan@yahoo.com</t>
  </si>
  <si>
    <t>974-4235-6809</t>
  </si>
  <si>
    <t>hana.wilson@hotmail.com</t>
  </si>
  <si>
    <t>lisa.anderson@hotmail.com</t>
  </si>
  <si>
    <t>amira.ali@hotmail.com</t>
  </si>
  <si>
    <t xml:space="preserve"> 2020-09-07 </t>
  </si>
  <si>
    <t>olivia.khan@gmail.com</t>
  </si>
  <si>
    <t>adam.rahman@company.com</t>
  </si>
  <si>
    <t>aisha.khan@gmail.com</t>
  </si>
  <si>
    <t xml:space="preserve"> 3319 6806 </t>
  </si>
  <si>
    <t>26/10/2023</t>
  </si>
  <si>
    <t>mohammed.moore@gmail.com</t>
  </si>
  <si>
    <t>+974 7461 6369</t>
  </si>
  <si>
    <t>28/12/2024</t>
  </si>
  <si>
    <t>lisa.davis@gmail.com</t>
  </si>
  <si>
    <t>+974 7805 8027</t>
  </si>
  <si>
    <t>david.ali@company.com</t>
  </si>
  <si>
    <t>31/02/2022</t>
  </si>
  <si>
    <t xml:space="preserve"> 4211 9082 </t>
  </si>
  <si>
    <t>amira.miller@hotmail.com</t>
  </si>
  <si>
    <t xml:space="preserve"> 7685 6133 </t>
  </si>
  <si>
    <t>mohammed.miller@company.com</t>
  </si>
  <si>
    <t>+974 4948 5145</t>
  </si>
  <si>
    <t>joseph.anderson@hotmail.com</t>
  </si>
  <si>
    <t>June 12 2022</t>
  </si>
  <si>
    <t>mary.davis@gmail.com</t>
  </si>
  <si>
    <t>974-4853-8213</t>
  </si>
  <si>
    <t>james.ali@gmail.com</t>
  </si>
  <si>
    <t xml:space="preserve"> 2021-11-29 </t>
  </si>
  <si>
    <t>fatima.smithoutlook.com</t>
  </si>
  <si>
    <t>+974 3523 4729</t>
  </si>
  <si>
    <t>maya.anderson@yahoo.com</t>
  </si>
  <si>
    <t>18-03-2024</t>
  </si>
  <si>
    <t>olivia.miller@yahoo.com</t>
  </si>
  <si>
    <t>30-06-2024</t>
  </si>
  <si>
    <t>peter..parker@gmail.com</t>
  </si>
  <si>
    <t>+974 6500 5693</t>
  </si>
  <si>
    <t>missing</t>
  </si>
  <si>
    <t>lisa.miller@outlook.com</t>
  </si>
  <si>
    <t>+974 6404 6445</t>
  </si>
  <si>
    <t>14/10/2019</t>
  </si>
  <si>
    <t>layla.thomas@outlook.com</t>
  </si>
  <si>
    <t xml:space="preserve"> 7272 8016 </t>
  </si>
  <si>
    <t>November 26 2019</t>
  </si>
  <si>
    <t>zainab.moore@outlook.com</t>
  </si>
  <si>
    <t xml:space="preserve"> hana.saleh@company.com </t>
  </si>
  <si>
    <t>joseph.ahmed@outlook.com</t>
  </si>
  <si>
    <t xml:space="preserve"> 5525 7585 </t>
  </si>
  <si>
    <t xml:space="preserve"> 2020-12-20 </t>
  </si>
  <si>
    <t>mohammed.parker@outlook.com</t>
  </si>
  <si>
    <t>974-5750-7106</t>
  </si>
  <si>
    <t>September 04 2019</t>
  </si>
  <si>
    <t>peter.thomas@yahoo.com</t>
  </si>
  <si>
    <t>974-4722-2936</t>
  </si>
  <si>
    <t>zainab.brown@company.com</t>
  </si>
  <si>
    <t>mohammed.anderson@company.com</t>
  </si>
  <si>
    <t xml:space="preserve"> 5269 1497 </t>
  </si>
  <si>
    <t>mohammed.johnson@hotmail.com</t>
  </si>
  <si>
    <t xml:space="preserve"> layla.ahmed@outlook.com </t>
  </si>
  <si>
    <t>+974 6701 5305</t>
  </si>
  <si>
    <t>aisha.hassangmail.com</t>
  </si>
  <si>
    <t>+974 7996 9204</t>
  </si>
  <si>
    <t>June 20 2023</t>
  </si>
  <si>
    <t>aisha..yusuf@hotmail.com</t>
  </si>
  <si>
    <t xml:space="preserve"> 4644 6011 </t>
  </si>
  <si>
    <t>October 03 2021</t>
  </si>
  <si>
    <t>william.khalid@outlook.com</t>
  </si>
  <si>
    <t xml:space="preserve"> 6730 9143 </t>
  </si>
  <si>
    <t>ryan.ali@hotmail.com</t>
  </si>
  <si>
    <t>+974 3021 6587</t>
  </si>
  <si>
    <t>david.miller@yahoo.com</t>
  </si>
  <si>
    <t>+974 5801 2951</t>
  </si>
  <si>
    <t>robert.parker@yahoo.com</t>
  </si>
  <si>
    <t>22/03/2022</t>
  </si>
  <si>
    <t>james.davis@outlook.com</t>
  </si>
  <si>
    <t xml:space="preserve"> 7918 8458 </t>
  </si>
  <si>
    <t xml:space="preserve"> 2024-05-17 </t>
  </si>
  <si>
    <t>john.thomas@yahoo.com</t>
  </si>
  <si>
    <t>23-03-2022</t>
  </si>
  <si>
    <t>ali.brown@company.com</t>
  </si>
  <si>
    <t>sara.taylor@yahoo.com</t>
  </si>
  <si>
    <t>noor.moore@yahoo.com</t>
  </si>
  <si>
    <t xml:space="preserve"> 2024-10-06 </t>
  </si>
  <si>
    <t>December 13 2024</t>
  </si>
  <si>
    <t>lisa.saleh@company.com</t>
  </si>
  <si>
    <t xml:space="preserve"> 2023-08-27 </t>
  </si>
  <si>
    <t>+974 5783 9447</t>
  </si>
  <si>
    <t>16/05/2023</t>
  </si>
  <si>
    <t>olivia..wilson@company.com</t>
  </si>
  <si>
    <t>+974 4532 6225</t>
  </si>
  <si>
    <t>omar.ahmed@outlook.com</t>
  </si>
  <si>
    <t>omar.thomas@hotmail.com</t>
  </si>
  <si>
    <t xml:space="preserve"> 2021-03-01 </t>
  </si>
  <si>
    <t>hana.parker@outlook.com</t>
  </si>
  <si>
    <t xml:space="preserve"> 4248 2925 </t>
  </si>
  <si>
    <t>emma.ahmed@company.com</t>
  </si>
  <si>
    <t>+974 3414 7004</t>
  </si>
  <si>
    <t xml:space="preserve"> 2021-11-24 </t>
  </si>
  <si>
    <t>mohammed.khalid@company.com</t>
  </si>
  <si>
    <t>olivia.saleh@company.com</t>
  </si>
  <si>
    <t>+974 6830 8010</t>
  </si>
  <si>
    <t xml:space="preserve"> 2020-01-23 </t>
  </si>
  <si>
    <t>david.miller@company.com</t>
  </si>
  <si>
    <t xml:space="preserve"> maya.johnson@yahoo.com </t>
  </si>
  <si>
    <t xml:space="preserve"> 5203 8271 </t>
  </si>
  <si>
    <t xml:space="preserve"> 2021-09-09 </t>
  </si>
  <si>
    <t>adam.saleh@gmail.com</t>
  </si>
  <si>
    <t>+974 5117 9983</t>
  </si>
  <si>
    <t>mary.hassan@company.com</t>
  </si>
  <si>
    <t>January 09 2021</t>
  </si>
  <si>
    <t>sara.davisyahoo.com</t>
  </si>
  <si>
    <t>974-4907-9650</t>
  </si>
  <si>
    <t>mohammed.brown@outlook.com</t>
  </si>
  <si>
    <t>+974 4655 9695</t>
  </si>
  <si>
    <t>john.anderson@gmail.com</t>
  </si>
  <si>
    <t xml:space="preserve"> 6356 3577 </t>
  </si>
  <si>
    <t>mohammed.rahman@hotmail.com</t>
  </si>
  <si>
    <t>974-4404-8444</t>
  </si>
  <si>
    <t>19/07/2022</t>
  </si>
  <si>
    <t>michael.martin@outlook.com</t>
  </si>
  <si>
    <t>david.taylor@gmail.com</t>
  </si>
  <si>
    <t>974-6417-2207</t>
  </si>
  <si>
    <t>23-12-2021</t>
  </si>
  <si>
    <t>July 04 2022</t>
  </si>
  <si>
    <t>james.wilson@gmail.com</t>
  </si>
  <si>
    <t>974-7976-2275</t>
  </si>
  <si>
    <t>hana.moore@company.com</t>
  </si>
  <si>
    <t xml:space="preserve"> 4980 6231 </t>
  </si>
  <si>
    <t>30/11/2024</t>
  </si>
  <si>
    <t>joseph.khan@company.com</t>
  </si>
  <si>
    <t>omar.saleh@yahoo.com</t>
  </si>
  <si>
    <t xml:space="preserve"> 2022-08-27 </t>
  </si>
  <si>
    <t>adam.anderson@hotmail.com</t>
  </si>
  <si>
    <t>974-6473-5249</t>
  </si>
  <si>
    <t>December 28 2024</t>
  </si>
  <si>
    <t>james.hassan@gmail.com</t>
  </si>
  <si>
    <t>fatima.aligmail.com</t>
  </si>
  <si>
    <t>15-09-2023</t>
  </si>
  <si>
    <t>lina.smith@outlook.com</t>
  </si>
  <si>
    <t xml:space="preserve"> 7653 5129 </t>
  </si>
  <si>
    <t>May 27 2024</t>
  </si>
  <si>
    <t>daniel.ahmed@gmail.com</t>
  </si>
  <si>
    <t>+974 5657 8242</t>
  </si>
  <si>
    <t>20-05-2019</t>
  </si>
  <si>
    <t>amira.johnson@outlook.com</t>
  </si>
  <si>
    <t>aisha.smith@company.com</t>
  </si>
  <si>
    <t>974-6667-9406</t>
  </si>
  <si>
    <t>21/09/2020</t>
  </si>
  <si>
    <t>amira.moore@hotmail.com</t>
  </si>
  <si>
    <t>974-5435-9914</t>
  </si>
  <si>
    <t>October 13 2021</t>
  </si>
  <si>
    <t>amira.martin@outlook.com</t>
  </si>
  <si>
    <t>974-7045-7019</t>
  </si>
  <si>
    <t>daniel.thomas@hotmail.com</t>
  </si>
  <si>
    <t xml:space="preserve"> 3183 7999 </t>
  </si>
  <si>
    <t>26-07-2024</t>
  </si>
  <si>
    <t>974-4102-1844</t>
  </si>
  <si>
    <t>15/09/2019</t>
  </si>
  <si>
    <t>fatima.davis@hotmail.com</t>
  </si>
  <si>
    <t xml:space="preserve"> lisa.smith@company.com </t>
  </si>
  <si>
    <t>amira.thomas@hotmail.com</t>
  </si>
  <si>
    <t xml:space="preserve"> 5009 4267 </t>
  </si>
  <si>
    <t>john.ali@hotmail.com</t>
  </si>
  <si>
    <t xml:space="preserve"> ahmed.saleh@gmail.com </t>
  </si>
  <si>
    <t>zainab.brownoutlook.com</t>
  </si>
  <si>
    <t>+974 4276 9499</t>
  </si>
  <si>
    <t>September 10 2022</t>
  </si>
  <si>
    <t>layla.parker@outlook.com</t>
  </si>
  <si>
    <t>21/02/2021</t>
  </si>
  <si>
    <t>adam.johnson@yahoo.com</t>
  </si>
  <si>
    <t xml:space="preserve"> 2024-06-30 </t>
  </si>
  <si>
    <t>joseph.taylor@gmail.com</t>
  </si>
  <si>
    <t>974-6764-1200</t>
  </si>
  <si>
    <t xml:space="preserve"> 2022-12-28 </t>
  </si>
  <si>
    <t>david.brown@outlook.com</t>
  </si>
  <si>
    <t>hana..parker@yahoo.com</t>
  </si>
  <si>
    <t>adam.miller@hotmail.com</t>
  </si>
  <si>
    <t xml:space="preserve"> 2023-07-05 </t>
  </si>
  <si>
    <t>ahmed.khalid@yahoo.com</t>
  </si>
  <si>
    <t xml:space="preserve"> 6816 8371 </t>
  </si>
  <si>
    <t>daniel.khan@company.com</t>
  </si>
  <si>
    <t>+974 6717 4901</t>
  </si>
  <si>
    <t>william.yusuf@hotmail.com</t>
  </si>
  <si>
    <t xml:space="preserve"> 4395 1564 </t>
  </si>
  <si>
    <t>13-04-2024</t>
  </si>
  <si>
    <t>daniel.khalid@yahoo.com</t>
  </si>
  <si>
    <t>emma.khan@hotmail.com</t>
  </si>
  <si>
    <t xml:space="preserve"> 2019-11-04 </t>
  </si>
  <si>
    <t xml:space="preserve"> james.brown@yahoo.com </t>
  </si>
  <si>
    <t xml:space="preserve"> ryan.smith@gmail.com </t>
  </si>
  <si>
    <t>+974 7623 4649</t>
  </si>
  <si>
    <t>mary.khalid@company.com</t>
  </si>
  <si>
    <t xml:space="preserve"> 3041 7886 </t>
  </si>
  <si>
    <t>michael.khan@hotmail.com</t>
  </si>
  <si>
    <t>ryan.anderson@gmail.com</t>
  </si>
  <si>
    <t>lisa.wilson@outlook.com</t>
  </si>
  <si>
    <t>michael.rahman@yahoo.com</t>
  </si>
  <si>
    <t>974-3176-6955</t>
  </si>
  <si>
    <t>29-12-2021</t>
  </si>
  <si>
    <t>amira..yusuf@yahoo.com</t>
  </si>
  <si>
    <t xml:space="preserve"> 2020-07-06 </t>
  </si>
  <si>
    <t>noor.ali@gmail.com</t>
  </si>
  <si>
    <t>+974 7742 2763</t>
  </si>
  <si>
    <t>June 24 2023</t>
  </si>
  <si>
    <t>david.davis@hotmail.com</t>
  </si>
  <si>
    <t>June 30 2024</t>
  </si>
  <si>
    <t>james.miller@company.com</t>
  </si>
  <si>
    <t>May 14 2021</t>
  </si>
  <si>
    <t>aisha.anderson@gmail.com</t>
  </si>
  <si>
    <t>thomas.parker@gmail.com</t>
  </si>
  <si>
    <t>+974 5188 9145</t>
  </si>
  <si>
    <t>August 27 2022</t>
  </si>
  <si>
    <t>thomas.smith@yahoo.com</t>
  </si>
  <si>
    <t xml:space="preserve"> 2020-03-13 </t>
  </si>
  <si>
    <t>john.moore@gmail.com</t>
  </si>
  <si>
    <t>September 25 2020</t>
  </si>
  <si>
    <t>974-4564-7988</t>
  </si>
  <si>
    <t>maya.hassan@gmail.com</t>
  </si>
  <si>
    <t xml:space="preserve"> 2021-06-30 </t>
  </si>
  <si>
    <t>thomas.taylor@hotmail.com</t>
  </si>
  <si>
    <t xml:space="preserve"> peter.brown@company.com </t>
  </si>
  <si>
    <t>974-3207-5770</t>
  </si>
  <si>
    <t>ali.thomas@yahoo.com</t>
  </si>
  <si>
    <t>May 25 2020</t>
  </si>
  <si>
    <t>mohammed.khan@company.com</t>
  </si>
  <si>
    <t>+974 6452 7865</t>
  </si>
  <si>
    <t>layla.wilson@outlook.com</t>
  </si>
  <si>
    <t>thomas.khan@hotmail.com</t>
  </si>
  <si>
    <t xml:space="preserve"> 6094 5135 </t>
  </si>
  <si>
    <t xml:space="preserve"> mohammed.brown@outlook.com </t>
  </si>
  <si>
    <t>24-02-2019</t>
  </si>
  <si>
    <t>sara.martin@gmail.com</t>
  </si>
  <si>
    <t>layla.martin@gmail.com</t>
  </si>
  <si>
    <t>13-12-2023</t>
  </si>
  <si>
    <t>john.ahmed@gmail.com</t>
  </si>
  <si>
    <t xml:space="preserve"> 4972 9470 </t>
  </si>
  <si>
    <t>17-03-2021</t>
  </si>
  <si>
    <t>noor.ali@outlook.com</t>
  </si>
  <si>
    <t xml:space="preserve"> 4963 7176 </t>
  </si>
  <si>
    <t>14-07-2023</t>
  </si>
  <si>
    <t>david.saleh@company.com</t>
  </si>
  <si>
    <t xml:space="preserve"> 4205 9400 </t>
  </si>
  <si>
    <t xml:space="preserve"> john.hassan@company.com </t>
  </si>
  <si>
    <t xml:space="preserve"> 7360 5085 </t>
  </si>
  <si>
    <t>ryan.aliyahoo.com</t>
  </si>
  <si>
    <t>14-04-2024</t>
  </si>
  <si>
    <t>layla.saleh@gmail.com</t>
  </si>
  <si>
    <t>974-5308-5243</t>
  </si>
  <si>
    <t>noor.johnson@yahoo.com</t>
  </si>
  <si>
    <t>+974 6636 8276</t>
  </si>
  <si>
    <t>26/09/2019</t>
  </si>
  <si>
    <t>peter..moore@yahoo.com</t>
  </si>
  <si>
    <t>hana.khan@yahoo.com</t>
  </si>
  <si>
    <t xml:space="preserve"> 7618 8836 </t>
  </si>
  <si>
    <t>hana.saleh@company.com</t>
  </si>
  <si>
    <t>thomas.brown@gmail.com</t>
  </si>
  <si>
    <t xml:space="preserve"> 3438 3978 </t>
  </si>
  <si>
    <t xml:space="preserve"> 2019-10-01 </t>
  </si>
  <si>
    <t>+974 4640 1540</t>
  </si>
  <si>
    <t>robert.anderson@gmail.com</t>
  </si>
  <si>
    <t>974-5129-8748</t>
  </si>
  <si>
    <t>26/12/2022</t>
  </si>
  <si>
    <t>ryan.miller@company.com</t>
  </si>
  <si>
    <t>omar.johnson@outlook.com</t>
  </si>
  <si>
    <t>john..davis@company.com</t>
  </si>
  <si>
    <t xml:space="preserve"> 3405 5108 </t>
  </si>
  <si>
    <t>October 06 2022</t>
  </si>
  <si>
    <t>james.martin@company.com</t>
  </si>
  <si>
    <t>maya.thomas@yahoo.com</t>
  </si>
  <si>
    <t>james.ahmed@company.com</t>
  </si>
  <si>
    <t>+974 7173 5307</t>
  </si>
  <si>
    <t>layla.hassan@hotmail.com</t>
  </si>
  <si>
    <t>August 27 2023</t>
  </si>
  <si>
    <t>john.davis@company.com</t>
  </si>
  <si>
    <t>16/01/2022</t>
  </si>
  <si>
    <t>layla.khalid@hotmail.com</t>
  </si>
  <si>
    <t>974-3784-8305</t>
  </si>
  <si>
    <t xml:space="preserve"> 2021-08-16 </t>
  </si>
  <si>
    <t>daniel.brown@yahoo.com</t>
  </si>
  <si>
    <t>+974 7003 6781</t>
  </si>
  <si>
    <t>16-05-2022</t>
  </si>
  <si>
    <t>david.rahman@company.com</t>
  </si>
  <si>
    <t>974-5908-5365</t>
  </si>
  <si>
    <t>michael.khan@company.com</t>
  </si>
  <si>
    <t>ali.davis@hotmail.com</t>
  </si>
  <si>
    <t xml:space="preserve"> 4647 1361 </t>
  </si>
  <si>
    <t>noor.anderson@outlook.com</t>
  </si>
  <si>
    <t>peter.thomas@hotmail.com</t>
  </si>
  <si>
    <t xml:space="preserve"> 3783 8055 </t>
  </si>
  <si>
    <t xml:space="preserve"> 2025-01-04 </t>
  </si>
  <si>
    <t>olivia.khalid@yahoo.com</t>
  </si>
  <si>
    <t>+974 5161 6635</t>
  </si>
  <si>
    <t xml:space="preserve"> 2019-06-19 </t>
  </si>
  <si>
    <t>maya.salehcompany.com</t>
  </si>
  <si>
    <t xml:space="preserve"> 4967 7383 </t>
  </si>
  <si>
    <t xml:space="preserve"> 2019-05-09 </t>
  </si>
  <si>
    <t>robert.rahman@company.com</t>
  </si>
  <si>
    <t>17-04-2024</t>
  </si>
  <si>
    <t xml:space="preserve"> thomas.smith@gmail.com </t>
  </si>
  <si>
    <t>December 18 2022</t>
  </si>
  <si>
    <t>peter.saleh@gmail.com</t>
  </si>
  <si>
    <t>974-7964-2500</t>
  </si>
  <si>
    <t>emma.martin@hotmail.com</t>
  </si>
  <si>
    <t>+974 5166 4107</t>
  </si>
  <si>
    <t>13-07-2021</t>
  </si>
  <si>
    <t>lisa.miller@company.com</t>
  </si>
  <si>
    <t>+974 6029 9575</t>
  </si>
  <si>
    <t xml:space="preserve"> 2019-12-14 </t>
  </si>
  <si>
    <t>noor.johnson@gmail.com</t>
  </si>
  <si>
    <t xml:space="preserve"> 6958 4000 </t>
  </si>
  <si>
    <t>david.wilson@hotmail.com</t>
  </si>
  <si>
    <t>April 12 2024</t>
  </si>
  <si>
    <t>robert..miller@yahoo.com</t>
  </si>
  <si>
    <t xml:space="preserve"> 6196 9959 </t>
  </si>
  <si>
    <t>18/04/2021</t>
  </si>
  <si>
    <t>adam.khan@outlook.com</t>
  </si>
  <si>
    <t>fatima.ahmed@company.com</t>
  </si>
  <si>
    <t>+974 4887 8013</t>
  </si>
  <si>
    <t>peter.moore@company.com</t>
  </si>
  <si>
    <t>ryan.moore@hotmail.com</t>
  </si>
  <si>
    <t>31/10/2020</t>
  </si>
  <si>
    <t>maya.salehoutlook.com</t>
  </si>
  <si>
    <t>May 04 2019</t>
  </si>
  <si>
    <t>sara.ahmed@yahoo.com</t>
  </si>
  <si>
    <t>+974 5867 1915</t>
  </si>
  <si>
    <t>ahmed.johnson@company.com</t>
  </si>
  <si>
    <t>layla.moore@outlook.com</t>
  </si>
  <si>
    <t>+974 3606 2625</t>
  </si>
  <si>
    <t>maya.rahman@company.com</t>
  </si>
  <si>
    <t>974-7512-9872</t>
  </si>
  <si>
    <t>fatima.khan@gmail.com</t>
  </si>
  <si>
    <t>ahmed.thomas@gmail.com</t>
  </si>
  <si>
    <t>974-4158-3942</t>
  </si>
  <si>
    <t>ali.hassan@company.com</t>
  </si>
  <si>
    <t>thomas.rahman@gmail.com</t>
  </si>
  <si>
    <t>+974 4730 7606</t>
  </si>
  <si>
    <t>fatima.wilson@hotmail.com</t>
  </si>
  <si>
    <t>974-5224-8605</t>
  </si>
  <si>
    <t>20/08/2020</t>
  </si>
  <si>
    <t>amira.rahman@outlook.com</t>
  </si>
  <si>
    <t>+974 3339 6003</t>
  </si>
  <si>
    <t xml:space="preserve"> 2023-12-04 </t>
  </si>
  <si>
    <t>lina.smith@yahoo.com</t>
  </si>
  <si>
    <t>+974 3155 9507</t>
  </si>
  <si>
    <t>thomas.wilson@yahoo.com</t>
  </si>
  <si>
    <t>974-6859-9412</t>
  </si>
  <si>
    <t>james.davis@gmail.com</t>
  </si>
  <si>
    <t>david.saleh@gmail.com</t>
  </si>
  <si>
    <t>18-12-2022</t>
  </si>
  <si>
    <t>aisha.ahmed@gmail.com</t>
  </si>
  <si>
    <t xml:space="preserve"> 6241 4536 </t>
  </si>
  <si>
    <t>ryan..taylor@gmail.com</t>
  </si>
  <si>
    <t>24/06/2020</t>
  </si>
  <si>
    <t>john.anderson@hotmail.com</t>
  </si>
  <si>
    <t xml:space="preserve"> peter.anderson@outlook.com </t>
  </si>
  <si>
    <t>974-5315-6680</t>
  </si>
  <si>
    <t>olivia.thomas@gmail.com</t>
  </si>
  <si>
    <t>974-5586-3364</t>
  </si>
  <si>
    <t>November 20 2022</t>
  </si>
  <si>
    <t>974-4114-8429</t>
  </si>
  <si>
    <t xml:space="preserve"> 2019-01-03 </t>
  </si>
  <si>
    <t>amira.hassan@outlook.com</t>
  </si>
  <si>
    <t>974-7234-2666</t>
  </si>
  <si>
    <t>ali.ali@gmail.com</t>
  </si>
  <si>
    <t xml:space="preserve"> 7870 1412 </t>
  </si>
  <si>
    <t xml:space="preserve"> 6735 4037 </t>
  </si>
  <si>
    <t>April 07 2021</t>
  </si>
  <si>
    <t>fatima.smith@hotmail.com</t>
  </si>
  <si>
    <t>ryan.wilson@company.com</t>
  </si>
  <si>
    <t>+974 6932 1645</t>
  </si>
  <si>
    <t>ali.parker@gmail.com</t>
  </si>
  <si>
    <t xml:space="preserve"> 2023-09-16 </t>
  </si>
  <si>
    <t>joseph.moore@company.com</t>
  </si>
  <si>
    <t>hana.ahmed@outlook.com</t>
  </si>
  <si>
    <t>+974 5456 1340</t>
  </si>
  <si>
    <t>ryan.martin@company.com</t>
  </si>
  <si>
    <t>974-6064-9724</t>
  </si>
  <si>
    <t>14/10/2021</t>
  </si>
  <si>
    <t>mary.ahmed@outlook.com</t>
  </si>
  <si>
    <t>michael.wilson@gmail.com</t>
  </si>
  <si>
    <t>omar.khalid@gmail.com</t>
  </si>
  <si>
    <t xml:space="preserve"> 2022-08-11 </t>
  </si>
  <si>
    <t>thomas.saleh@hotmail.com</t>
  </si>
  <si>
    <t>ryan.moore@gmail.com</t>
  </si>
  <si>
    <t xml:space="preserve"> 7698 2843 </t>
  </si>
  <si>
    <t>ahmed.anderson@outlook.com</t>
  </si>
  <si>
    <t>23/03/2024</t>
  </si>
  <si>
    <t>+974 7959 1191</t>
  </si>
  <si>
    <t xml:space="preserve"> 2023-05-17 </t>
  </si>
  <si>
    <t xml:space="preserve"> layla.ali@outlook.com </t>
  </si>
  <si>
    <t>14/01/2022</t>
  </si>
  <si>
    <t>david.hassan@company.com</t>
  </si>
  <si>
    <t xml:space="preserve"> 4474 9314 </t>
  </si>
  <si>
    <t>adam.brown@outlook.com</t>
  </si>
  <si>
    <t>974-5711-1776</t>
  </si>
  <si>
    <t xml:space="preserve"> 2023-06-15 </t>
  </si>
  <si>
    <t>james.khalid@outlook.com</t>
  </si>
  <si>
    <t xml:space="preserve"> 5142 5526 </t>
  </si>
  <si>
    <t>william.miller@yahoo.com</t>
  </si>
  <si>
    <t>+974 5131 8903</t>
  </si>
  <si>
    <t>974-4185-1987</t>
  </si>
  <si>
    <t>April 11 2019</t>
  </si>
  <si>
    <t>robert.ali@yahoo.com</t>
  </si>
  <si>
    <t xml:space="preserve"> 2023-09-28 </t>
  </si>
  <si>
    <t>james.taylor@outlook.com</t>
  </si>
  <si>
    <t xml:space="preserve"> 3300 1553 </t>
  </si>
  <si>
    <t xml:space="preserve"> ali.taylor@hotmail.com </t>
  </si>
  <si>
    <t>974-3750-9077</t>
  </si>
  <si>
    <t>william.anderson@outlook.com</t>
  </si>
  <si>
    <t xml:space="preserve"> 6015 3588 </t>
  </si>
  <si>
    <t>March 28 2023</t>
  </si>
  <si>
    <t>adam.johnson@outlook.com</t>
  </si>
  <si>
    <t>+974 3747 8080</t>
  </si>
  <si>
    <t>21-05-2019</t>
  </si>
  <si>
    <t>ahmed.smith@outlook.com</t>
  </si>
  <si>
    <t xml:space="preserve"> 4664 5373 </t>
  </si>
  <si>
    <t>November 10 2022</t>
  </si>
  <si>
    <t>mohammed.taylor@gmail.com</t>
  </si>
  <si>
    <t>974-3347-8237</t>
  </si>
  <si>
    <t>31/10/2023</t>
  </si>
  <si>
    <t>amira.wilson@company.com</t>
  </si>
  <si>
    <t xml:space="preserve"> 4272 1731 </t>
  </si>
  <si>
    <t>maya.saleh@yahoo.com</t>
  </si>
  <si>
    <t>joseph.wilson@yahoo.com</t>
  </si>
  <si>
    <t xml:space="preserve"> 7677 2828 </t>
  </si>
  <si>
    <t>16/03/2023</t>
  </si>
  <si>
    <t>fatima.brown@hotmail.com</t>
  </si>
  <si>
    <t>+974 6947 3797</t>
  </si>
  <si>
    <t>ali.taylor@outlook.com</t>
  </si>
  <si>
    <t>mohammed.davis@yahoo.com</t>
  </si>
  <si>
    <t>+974 5847 6078</t>
  </si>
  <si>
    <t>hana.ali@hotmail.com</t>
  </si>
  <si>
    <t>+974 5176 6000</t>
  </si>
  <si>
    <t xml:space="preserve"> 2024-04-12 </t>
  </si>
  <si>
    <t xml:space="preserve"> michael.anderson@hotmail.com </t>
  </si>
  <si>
    <t xml:space="preserve"> 4374 2668 </t>
  </si>
  <si>
    <t>robert.thomas@hotmail.com</t>
  </si>
  <si>
    <t xml:space="preserve"> 6751 7452 </t>
  </si>
  <si>
    <t>December 10 2022</t>
  </si>
  <si>
    <t>daniel.hassan@hotmail.com</t>
  </si>
  <si>
    <t>974-5842-6453</t>
  </si>
  <si>
    <t>mary.mooreyahoo.com</t>
  </si>
  <si>
    <t>974-6969-9130</t>
  </si>
  <si>
    <t>aisha.smith@yahoo.com</t>
  </si>
  <si>
    <t xml:space="preserve"> 7073 8719 </t>
  </si>
  <si>
    <t>24-03-2019</t>
  </si>
  <si>
    <t>daniel.saleh@hotmail.com</t>
  </si>
  <si>
    <t xml:space="preserve"> 7911 1780 </t>
  </si>
  <si>
    <t>24/11/2022</t>
  </si>
  <si>
    <t>layla.anderson@gmail.com</t>
  </si>
  <si>
    <t xml:space="preserve"> 7595 6053 </t>
  </si>
  <si>
    <t>ahmed.miller@outlook.com</t>
  </si>
  <si>
    <t>aisha.yusuf@yahoo.com</t>
  </si>
  <si>
    <t xml:space="preserve"> 7721 7654 </t>
  </si>
  <si>
    <t>peter.moore@gmail.com</t>
  </si>
  <si>
    <t xml:space="preserve"> 2019-07-16 </t>
  </si>
  <si>
    <t>noor.miller@company.com</t>
  </si>
  <si>
    <t>14/08/2020</t>
  </si>
  <si>
    <t>ali.smith@outlook.com</t>
  </si>
  <si>
    <t>peter.ali@gmail.com</t>
  </si>
  <si>
    <t xml:space="preserve"> 6007 7566 </t>
  </si>
  <si>
    <t>April 08 2022</t>
  </si>
  <si>
    <t>thomas.davis@gmail.com</t>
  </si>
  <si>
    <t>maya.parker@gmail.com</t>
  </si>
  <si>
    <t>April 18 2023</t>
  </si>
  <si>
    <t>lisa.martin@gmail.com</t>
  </si>
  <si>
    <t>974-3510-4672</t>
  </si>
  <si>
    <t xml:space="preserve"> 2021-12-20 </t>
  </si>
  <si>
    <t>robert.khalidgmail.com</t>
  </si>
  <si>
    <t>21-06-2024</t>
  </si>
  <si>
    <t>lisa..ahmed@outlook.com</t>
  </si>
  <si>
    <t>+974 5628 4221</t>
  </si>
  <si>
    <t xml:space="preserve"> 2022-10-24 </t>
  </si>
  <si>
    <t>ahmed.khan@yahoo.com</t>
  </si>
  <si>
    <t xml:space="preserve"> 7634 4853 </t>
  </si>
  <si>
    <t>July 09 2020</t>
  </si>
  <si>
    <t>ryan.hassan@gmail.com</t>
  </si>
  <si>
    <t xml:space="preserve"> 5025 9797 </t>
  </si>
  <si>
    <t>mary.wilson@company.com</t>
  </si>
  <si>
    <t>25/10/2024</t>
  </si>
  <si>
    <t>lisa.brown@company.com</t>
  </si>
  <si>
    <t>27/02/2019</t>
  </si>
  <si>
    <t>mary.khan@gmail.com</t>
  </si>
  <si>
    <t xml:space="preserve"> 5770 2548 </t>
  </si>
  <si>
    <t>mary.moore@yahoo.com</t>
  </si>
  <si>
    <t xml:space="preserve"> 6427 9408 </t>
  </si>
  <si>
    <t>john.khalid@yahoo.com</t>
  </si>
  <si>
    <t>noor.martin@outlook.com</t>
  </si>
  <si>
    <t xml:space="preserve"> 2024-12-15 </t>
  </si>
  <si>
    <t>olivia.ahmed@gmail.com</t>
  </si>
  <si>
    <t xml:space="preserve"> 4677 5900 </t>
  </si>
  <si>
    <t>john..hassan@gmail.com</t>
  </si>
  <si>
    <t>+974 6115 8179</t>
  </si>
  <si>
    <t>+974 4767 5099</t>
  </si>
  <si>
    <t xml:space="preserve"> 4525 5638 </t>
  </si>
  <si>
    <t>maya.smith@yahoo.com</t>
  </si>
  <si>
    <t xml:space="preserve"> 2024-12-08 </t>
  </si>
  <si>
    <t>lisa.rahmanhotmail.com</t>
  </si>
  <si>
    <t>November 07 2024</t>
  </si>
  <si>
    <t xml:space="preserve"> david.taylor@hotmail.com </t>
  </si>
  <si>
    <t xml:space="preserve"> 2019-12-02 </t>
  </si>
  <si>
    <t>robert.smith@company.com</t>
  </si>
  <si>
    <t xml:space="preserve"> 3800 7804 </t>
  </si>
  <si>
    <t>May 12 2024</t>
  </si>
  <si>
    <t xml:space="preserve"> ahmed.johnson@gmail.com </t>
  </si>
  <si>
    <t>974-4645-3155</t>
  </si>
  <si>
    <t>mary.wilson@outlook.com</t>
  </si>
  <si>
    <t>974-3943-3983</t>
  </si>
  <si>
    <t xml:space="preserve"> 2023-12-05 </t>
  </si>
  <si>
    <t>fatima.taylor@gmail.com</t>
  </si>
  <si>
    <t>+974 5412 8817</t>
  </si>
  <si>
    <t>21/06/2020</t>
  </si>
  <si>
    <t>peter.miller@yahoo.com</t>
  </si>
  <si>
    <t>974-7140-5546</t>
  </si>
  <si>
    <t>adam.davis@yahoo.com</t>
  </si>
  <si>
    <t>peter.moore@hotmail.com</t>
  </si>
  <si>
    <t>+974 5027 7400</t>
  </si>
  <si>
    <t>john.miller@company.com</t>
  </si>
  <si>
    <t>+974 6309 6484</t>
  </si>
  <si>
    <t>olivia.smith@outlook.com</t>
  </si>
  <si>
    <t>June 03 2024</t>
  </si>
  <si>
    <t>19-02-2019</t>
  </si>
  <si>
    <t>daniel.thomas@yahoo.com</t>
  </si>
  <si>
    <t>robert.andersonoutlook.com</t>
  </si>
  <si>
    <t>+974 7692 9238</t>
  </si>
  <si>
    <t>john.parker@hotmail.com</t>
  </si>
  <si>
    <t xml:space="preserve"> 2019-02-13 </t>
  </si>
  <si>
    <t>omar.brown@company.com</t>
  </si>
  <si>
    <t>+974 5023 2057</t>
  </si>
  <si>
    <t>omar.martinyahoo.com</t>
  </si>
  <si>
    <t>974-7782-2283</t>
  </si>
  <si>
    <t>mary.khancompany.com</t>
  </si>
  <si>
    <t xml:space="preserve"> 2024-06-02 </t>
  </si>
  <si>
    <t>sara.miller@hotmail.com</t>
  </si>
  <si>
    <t>michael.davis@outlook.com</t>
  </si>
  <si>
    <t>zainab.saleh@hotmail.com</t>
  </si>
  <si>
    <t>+974 7437 9467</t>
  </si>
  <si>
    <t xml:space="preserve"> 2020-06-07 </t>
  </si>
  <si>
    <t>james.ahmed@yahoo.com</t>
  </si>
  <si>
    <t>+974 4160 9582</t>
  </si>
  <si>
    <t>william.martin@gmail.com</t>
  </si>
  <si>
    <t>August 11 2024</t>
  </si>
  <si>
    <t>james.brown@company.com</t>
  </si>
  <si>
    <t>January 16 2024</t>
  </si>
  <si>
    <t xml:space="preserve"> hana.taylor@gmail.com </t>
  </si>
  <si>
    <t xml:space="preserve"> 2022-08-22 </t>
  </si>
  <si>
    <t>william.parker@outlook.com</t>
  </si>
  <si>
    <t>974-6273-2647</t>
  </si>
  <si>
    <t>omar.saleh@company.com</t>
  </si>
  <si>
    <t xml:space="preserve"> 7434 7488 </t>
  </si>
  <si>
    <t xml:space="preserve"> 2020-01-13 </t>
  </si>
  <si>
    <t>aisha.rahman@gmail.com</t>
  </si>
  <si>
    <t>+974 6424 1868</t>
  </si>
  <si>
    <t>June 09 2022</t>
  </si>
  <si>
    <t>william.khalid@gmail.com</t>
  </si>
  <si>
    <t>+974 3394 7060</t>
  </si>
  <si>
    <t>sara.rahman@company.com</t>
  </si>
  <si>
    <t xml:space="preserve"> 4610 3575 </t>
  </si>
  <si>
    <t>zainab.taylor@gmail.com</t>
  </si>
  <si>
    <t xml:space="preserve"> 5774 4426 </t>
  </si>
  <si>
    <t>29/10/2019</t>
  </si>
  <si>
    <t>lisa.yusuf@hotmail.com</t>
  </si>
  <si>
    <t>28-03-2020</t>
  </si>
  <si>
    <t>amira.khalid@outlook.com</t>
  </si>
  <si>
    <t>+974 3734 7090</t>
  </si>
  <si>
    <t>March 16 2020</t>
  </si>
  <si>
    <t>olivia.tayloryahoo.com</t>
  </si>
  <si>
    <t>974-4604-2994</t>
  </si>
  <si>
    <t>mohammed.davis@hotmail.com</t>
  </si>
  <si>
    <t>+974 4312 1342</t>
  </si>
  <si>
    <t>mary.parker@company.com</t>
  </si>
  <si>
    <t>974-5109-9277</t>
  </si>
  <si>
    <t xml:space="preserve"> 2020-12-08 </t>
  </si>
  <si>
    <t>aisha.saleh@gmail.com</t>
  </si>
  <si>
    <t xml:space="preserve"> 3405 9625 </t>
  </si>
  <si>
    <t>adam.yusuf@yahoo.com</t>
  </si>
  <si>
    <t>March 01 2021</t>
  </si>
  <si>
    <t>james.ahmed@hotmail.com</t>
  </si>
  <si>
    <t>974-4712-6377</t>
  </si>
  <si>
    <t xml:space="preserve"> 2020-11-12 </t>
  </si>
  <si>
    <t>+974 3319 2650</t>
  </si>
  <si>
    <t>omar.smith@hotmail.com</t>
  </si>
  <si>
    <t>+974 5523 2148</t>
  </si>
  <si>
    <t>amira.taylor@yahoo.com</t>
  </si>
  <si>
    <t>hana.anderson@outlook.com</t>
  </si>
  <si>
    <t>974-7546-3253</t>
  </si>
  <si>
    <t>August 09 2019</t>
  </si>
  <si>
    <t>john.yusuf@gmail.com</t>
  </si>
  <si>
    <t>daniel.yusuf@hotmail.com</t>
  </si>
  <si>
    <t>omar.ali@gmail.com</t>
  </si>
  <si>
    <t>974-4213-7400</t>
  </si>
  <si>
    <t>ahmed.thomas@company.com</t>
  </si>
  <si>
    <t>+974 6640 5210</t>
  </si>
  <si>
    <t>james.miller@hotmail.com</t>
  </si>
  <si>
    <t>+974 3288 9793</t>
  </si>
  <si>
    <t>ali.rahman@hotmail.com</t>
  </si>
  <si>
    <t>michael.ahmed@yahoo.com</t>
  </si>
  <si>
    <t>aisha.moore@outlook.com</t>
  </si>
  <si>
    <t xml:space="preserve"> 3620 8435 </t>
  </si>
  <si>
    <t xml:space="preserve"> 2019-05-27 </t>
  </si>
  <si>
    <t>daniel.ali@outlook.com</t>
  </si>
  <si>
    <t xml:space="preserve"> 5392 8890 </t>
  </si>
  <si>
    <t xml:space="preserve"> 2019-04-04 </t>
  </si>
  <si>
    <t>robert.thomas@outlook.com</t>
  </si>
  <si>
    <t>November 09 2021</t>
  </si>
  <si>
    <t>noor.taylor@company.com</t>
  </si>
  <si>
    <t>amira.yusuf@gmail.com</t>
  </si>
  <si>
    <t xml:space="preserve"> 4263 3140 </t>
  </si>
  <si>
    <t>ahmed..moore@company.com</t>
  </si>
  <si>
    <t xml:space="preserve"> 4375 2367 </t>
  </si>
  <si>
    <t>28/06/2019</t>
  </si>
  <si>
    <t>robert.khan@company.com</t>
  </si>
  <si>
    <t>+974 3691 3681</t>
  </si>
  <si>
    <t>16-04-2024</t>
  </si>
  <si>
    <t>david.yusuf@company.com</t>
  </si>
  <si>
    <t xml:space="preserve"> 3631 7454 </t>
  </si>
  <si>
    <t>+974 6271 4063</t>
  </si>
  <si>
    <t>john.ahmed@outlook.com</t>
  </si>
  <si>
    <t>974-5952-5828</t>
  </si>
  <si>
    <t>lina.ahmedoutlook.com</t>
  </si>
  <si>
    <t>974-7012-1665</t>
  </si>
  <si>
    <t>sara.parker@outlook.com</t>
  </si>
  <si>
    <t>June 12 2024</t>
  </si>
  <si>
    <t>olivia.davis@company.com</t>
  </si>
  <si>
    <t>974-3996-9009</t>
  </si>
  <si>
    <t>ali.ali@yahoo.com</t>
  </si>
  <si>
    <t>974-7465-3924</t>
  </si>
  <si>
    <t>lisa.taylor@hotmail.com</t>
  </si>
  <si>
    <t>31-03-2019</t>
  </si>
  <si>
    <t>omar.ali@outlook.com</t>
  </si>
  <si>
    <t>974-7174-2433</t>
  </si>
  <si>
    <t xml:space="preserve"> 2023-02-13 </t>
  </si>
  <si>
    <t>olivia.miller@company.com</t>
  </si>
  <si>
    <t>+974 7491 6675</t>
  </si>
  <si>
    <t xml:space="preserve"> 2022-08-26 </t>
  </si>
  <si>
    <t>amira.wilson@outlook.com</t>
  </si>
  <si>
    <t>hana.saleh@gmail.com</t>
  </si>
  <si>
    <t>April 19 2022</t>
  </si>
  <si>
    <t>+974 3931 4170</t>
  </si>
  <si>
    <t>April 14 2024</t>
  </si>
  <si>
    <t>sara.parker@hotmail.com</t>
  </si>
  <si>
    <t>peter.miller@gmail.com</t>
  </si>
  <si>
    <t>974-5000-4743</t>
  </si>
  <si>
    <t>ryan.rahman@outlook.com</t>
  </si>
  <si>
    <t>974-7603-7147</t>
  </si>
  <si>
    <t>james.rahman@gmail.com</t>
  </si>
  <si>
    <t xml:space="preserve"> 2020-12-16 </t>
  </si>
  <si>
    <t>lina.khalid@hotmail.com</t>
  </si>
  <si>
    <t>+974 3854 4151</t>
  </si>
  <si>
    <t xml:space="preserve"> olivia.martin@gmail.com </t>
  </si>
  <si>
    <t>+974 6802 3695</t>
  </si>
  <si>
    <t>layla.martin@outlook.com</t>
  </si>
  <si>
    <t>amira.davis@yahoo.com</t>
  </si>
  <si>
    <t>lisa.ahmed@company.com</t>
  </si>
  <si>
    <t>974-5482-6401</t>
  </si>
  <si>
    <t>October 27 2024</t>
  </si>
  <si>
    <t>maya.ahmed@company.com</t>
  </si>
  <si>
    <t xml:space="preserve"> 4969 3074 </t>
  </si>
  <si>
    <t>olivia.davis@gmail.com</t>
  </si>
  <si>
    <t>March 05 2020</t>
  </si>
  <si>
    <t>noor.miller@yahoo.com</t>
  </si>
  <si>
    <t>fatima.rahman@outlook.com</t>
  </si>
  <si>
    <t>maya.yusuf@company.com</t>
  </si>
  <si>
    <t xml:space="preserve"> 2021-08-24 </t>
  </si>
  <si>
    <t>joseph.davis@outlook.com</t>
  </si>
  <si>
    <t>974-5877-7533</t>
  </si>
  <si>
    <t>zainab.wilson@gmail.com</t>
  </si>
  <si>
    <t>+974 6839 3332</t>
  </si>
  <si>
    <t>January 24 2024</t>
  </si>
  <si>
    <t>mary.martin@company.com</t>
  </si>
  <si>
    <t>lisa.khalid@hotmail.com</t>
  </si>
  <si>
    <t>974-6849-5913</t>
  </si>
  <si>
    <t>16/10/2024</t>
  </si>
  <si>
    <t>+974 6117 3857</t>
  </si>
  <si>
    <t>layla.davis@company.com</t>
  </si>
  <si>
    <t>+974 6492 5818</t>
  </si>
  <si>
    <t>26-05-2023</t>
  </si>
  <si>
    <t>aisha.johnson@gmail.com</t>
  </si>
  <si>
    <t xml:space="preserve"> 2020-04-11 </t>
  </si>
  <si>
    <t>ryan.davis@outlook.com</t>
  </si>
  <si>
    <t xml:space="preserve"> 3032 3280 </t>
  </si>
  <si>
    <t>+974 4711 9364</t>
  </si>
  <si>
    <t>15/10/2020</t>
  </si>
  <si>
    <t xml:space="preserve"> 2023-12-12 </t>
  </si>
  <si>
    <t>14-07-2024</t>
  </si>
  <si>
    <t>emma.parker@yahoo.com</t>
  </si>
  <si>
    <t xml:space="preserve"> 3808 2687 </t>
  </si>
  <si>
    <t>layla.saleh@company.com</t>
  </si>
  <si>
    <t>15-01-2019</t>
  </si>
  <si>
    <t>maya.johnson@yahoo.com</t>
  </si>
  <si>
    <t xml:space="preserve"> 5140 6273 </t>
  </si>
  <si>
    <t>thomas.smith@company.com</t>
  </si>
  <si>
    <t xml:space="preserve"> 7269 3201 </t>
  </si>
  <si>
    <t xml:space="preserve"> 2021-07-20 </t>
  </si>
  <si>
    <t>layla.davisyahoo.com</t>
  </si>
  <si>
    <t xml:space="preserve"> 6146 4524 </t>
  </si>
  <si>
    <t>22/05/2023</t>
  </si>
  <si>
    <t>james.anderson@yahoo.com</t>
  </si>
  <si>
    <t>noor.hassan@outlook.com</t>
  </si>
  <si>
    <t xml:space="preserve"> 6835 5818 </t>
  </si>
  <si>
    <t>17/06/2019</t>
  </si>
  <si>
    <t>lisa..taylor@outlook.com</t>
  </si>
  <si>
    <t xml:space="preserve"> 4431 4602 </t>
  </si>
  <si>
    <t>July 21 2024</t>
  </si>
  <si>
    <t>aisha.anderson@company.com</t>
  </si>
  <si>
    <t>February 04 2024</t>
  </si>
  <si>
    <t>david.yusufoutlook.com</t>
  </si>
  <si>
    <t xml:space="preserve"> 3993 3719 </t>
  </si>
  <si>
    <t>14/06/2019</t>
  </si>
  <si>
    <t>joseph.hassan@hotmail.com</t>
  </si>
  <si>
    <t>974-7719-8004</t>
  </si>
  <si>
    <t>william.smithhotmail.com</t>
  </si>
  <si>
    <t>joseph.smith@hotmail.com</t>
  </si>
  <si>
    <t>james.saleh@outlook.com</t>
  </si>
  <si>
    <t>+974 4296 3885</t>
  </si>
  <si>
    <t>aisha.hassan@company.com</t>
  </si>
  <si>
    <t xml:space="preserve"> daniel.yusuf@company.com </t>
  </si>
  <si>
    <t>joseph.saleh@outlook.com</t>
  </si>
  <si>
    <t>fatima.wilson@company.com</t>
  </si>
  <si>
    <t>974-7638-4488</t>
  </si>
  <si>
    <t>ryan.wilsonyahoo.com</t>
  </si>
  <si>
    <t>+974 6331 7764</t>
  </si>
  <si>
    <t>fatima.martin@yahoo.com</t>
  </si>
  <si>
    <t>+974 4250 4684</t>
  </si>
  <si>
    <t>mohammed.yusuf@gmail.com</t>
  </si>
  <si>
    <t>+974 6472 4697</t>
  </si>
  <si>
    <t>joseph.browncompany.com</t>
  </si>
  <si>
    <t xml:space="preserve"> 5032 7391 </t>
  </si>
  <si>
    <t>22/02/2023</t>
  </si>
  <si>
    <t>amira.martin@gmail.com</t>
  </si>
  <si>
    <t xml:space="preserve"> 3926 2026 </t>
  </si>
  <si>
    <t>ali.rahman@company.com</t>
  </si>
  <si>
    <t>974-3119-7743</t>
  </si>
  <si>
    <t>24/02/2021</t>
  </si>
  <si>
    <t>maya.hassan@hotmail.com</t>
  </si>
  <si>
    <t>974-5164-8566</t>
  </si>
  <si>
    <t>17-04-2019</t>
  </si>
  <si>
    <t>mohammed.parker@yahoo.com</t>
  </si>
  <si>
    <t xml:space="preserve"> 2022-03-23 </t>
  </si>
  <si>
    <t>ryan.thomas@outlook.com</t>
  </si>
  <si>
    <t>October 18 2023</t>
  </si>
  <si>
    <t>william.wilson@outlook.com</t>
  </si>
  <si>
    <t>+974 5019 3510</t>
  </si>
  <si>
    <t>david.smith@yahoo.com</t>
  </si>
  <si>
    <t>olivia.rahman@gmail.com</t>
  </si>
  <si>
    <t>974-4619-9666</t>
  </si>
  <si>
    <t>22-12-2023</t>
  </si>
  <si>
    <t>ahmed.saleh@hotmail.com</t>
  </si>
  <si>
    <t>27-11-2024</t>
  </si>
  <si>
    <t>hana.johnson@yahoo.com</t>
  </si>
  <si>
    <t xml:space="preserve"> 6364 8063 </t>
  </si>
  <si>
    <t xml:space="preserve"> 2023-01-10 </t>
  </si>
  <si>
    <t>zainab.davis@hotmail.com</t>
  </si>
  <si>
    <t>974-3102-3194</t>
  </si>
  <si>
    <t>24-04-2024</t>
  </si>
  <si>
    <t>maya.yusuf@outlook.com</t>
  </si>
  <si>
    <t xml:space="preserve"> 2024-06-26 </t>
  </si>
  <si>
    <t>emma.khan@outlook.com</t>
  </si>
  <si>
    <t>974-3791-5907</t>
  </si>
  <si>
    <t>+974 4753 8598</t>
  </si>
  <si>
    <t>fatima.taylor@company.com</t>
  </si>
  <si>
    <t>+974 5542 3650</t>
  </si>
  <si>
    <t>January 09 2024</t>
  </si>
  <si>
    <t>974-3519-3155</t>
  </si>
  <si>
    <t>mary.ali@company.com</t>
  </si>
  <si>
    <t xml:space="preserve"> 2020-02-18 </t>
  </si>
  <si>
    <t>ryan.taylor@hotmail.com</t>
  </si>
  <si>
    <t>974-5587-2645</t>
  </si>
  <si>
    <t>amira.moore@gmail.com</t>
  </si>
  <si>
    <t>974-6740-1535</t>
  </si>
  <si>
    <t>16-10-2023</t>
  </si>
  <si>
    <t>974-7468-5012</t>
  </si>
  <si>
    <t xml:space="preserve">Robert     Brown </t>
  </si>
  <si>
    <t>mary.brown@yahoo</t>
  </si>
  <si>
    <t>john.davishotmail.com</t>
  </si>
  <si>
    <t xml:space="preserve"> +6028 1693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</si>
</sst>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6" fontId="0" fillId="0" borderId="0" xfId="0" applyNumberFormat="1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y.brown@yah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G10" sqref="G10"/>
    </sheetView>
  </sheetViews>
  <sheetFormatPr defaultRowHeight="15"/>
  <cols>
    <col min="2" max="2" width="22" bestFit="1" customWidth="1"/>
    <col min="3" max="3" width="27.140625" customWidth="1"/>
    <col min="4" max="4" width="13.42578125" style="1" bestFit="1" customWidth="1"/>
    <col min="7" max="7" width="13.28515625" customWidth="1"/>
    <col min="8" max="8" width="30" bestFit="1" customWidth="1"/>
    <col min="9" max="9" width="22.28515625" customWidth="1"/>
    <col min="10" max="10" width="9.28515625" bestFit="1" customWidth="1"/>
  </cols>
  <sheetData>
    <row r="1" spans="1:1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26</v>
      </c>
      <c r="C2" t="s">
        <v>35</v>
      </c>
      <c r="D2" s="1">
        <v>25</v>
      </c>
      <c r="E2" s="2">
        <v>5000</v>
      </c>
      <c r="F2" s="2">
        <v>500</v>
      </c>
      <c r="G2" t="s">
        <v>50</v>
      </c>
      <c r="H2" t="s">
        <v>957</v>
      </c>
      <c r="I2">
        <v>97474793157</v>
      </c>
      <c r="J2" t="s">
        <v>56</v>
      </c>
      <c r="K2" t="s">
        <v>48</v>
      </c>
    </row>
    <row r="3" spans="1:11">
      <c r="A3" t="s">
        <v>12</v>
      </c>
      <c r="B3" t="s">
        <v>27</v>
      </c>
      <c r="C3" t="s">
        <v>36</v>
      </c>
      <c r="D3" s="1">
        <v>30</v>
      </c>
      <c r="E3">
        <v>6000</v>
      </c>
      <c r="F3" t="s">
        <v>958</v>
      </c>
      <c r="G3" s="5">
        <v>51326</v>
      </c>
      <c r="H3" t="s">
        <v>959</v>
      </c>
      <c r="I3" t="s">
        <v>960</v>
      </c>
      <c r="J3" t="s">
        <v>961</v>
      </c>
      <c r="K3" t="s">
        <v>61</v>
      </c>
    </row>
    <row r="4" spans="1:11">
      <c r="A4" t="s">
        <v>13</v>
      </c>
      <c r="C4" t="s">
        <v>37</v>
      </c>
      <c r="D4" s="1">
        <v>35</v>
      </c>
      <c r="E4" s="3">
        <v>7500.5</v>
      </c>
      <c r="F4" t="s">
        <v>962</v>
      </c>
      <c r="G4" s="5">
        <v>43909</v>
      </c>
      <c r="H4" s="6" t="s">
        <v>1893</v>
      </c>
      <c r="I4">
        <v>37773911</v>
      </c>
      <c r="J4" t="s">
        <v>58</v>
      </c>
      <c r="K4" t="s">
        <v>66</v>
      </c>
    </row>
    <row r="5" spans="1:11">
      <c r="A5" t="s">
        <v>14</v>
      </c>
      <c r="B5" t="s">
        <v>552</v>
      </c>
      <c r="C5" t="s">
        <v>38</v>
      </c>
      <c r="D5" s="1" t="s">
        <v>48</v>
      </c>
      <c r="E5" t="s">
        <v>48</v>
      </c>
      <c r="F5">
        <v>500</v>
      </c>
      <c r="G5" s="7" t="s">
        <v>52</v>
      </c>
      <c r="H5" t="s">
        <v>963</v>
      </c>
      <c r="I5">
        <v>37855874</v>
      </c>
      <c r="J5" t="s">
        <v>58</v>
      </c>
      <c r="K5" t="s">
        <v>63</v>
      </c>
    </row>
    <row r="6" spans="1:11">
      <c r="A6" t="s">
        <v>15</v>
      </c>
      <c r="B6" t="s">
        <v>1892</v>
      </c>
      <c r="C6" t="s">
        <v>39</v>
      </c>
      <c r="D6" s="1">
        <v>42</v>
      </c>
      <c r="E6" s="4">
        <v>8000</v>
      </c>
      <c r="F6" t="s">
        <v>33</v>
      </c>
      <c r="G6" t="s">
        <v>964</v>
      </c>
      <c r="H6" t="s">
        <v>965</v>
      </c>
      <c r="I6" t="s">
        <v>966</v>
      </c>
      <c r="J6" t="s">
        <v>54</v>
      </c>
      <c r="K6" t="s">
        <v>967</v>
      </c>
    </row>
    <row r="7" spans="1:11">
      <c r="A7" t="s">
        <v>16</v>
      </c>
      <c r="B7" t="s">
        <v>28</v>
      </c>
      <c r="C7" t="s">
        <v>40</v>
      </c>
      <c r="D7" s="1" t="s">
        <v>49</v>
      </c>
      <c r="E7">
        <v>6500</v>
      </c>
      <c r="F7">
        <v>-50</v>
      </c>
      <c r="G7" s="5">
        <v>44127</v>
      </c>
      <c r="H7" t="s">
        <v>968</v>
      </c>
      <c r="I7" t="s">
        <v>1895</v>
      </c>
      <c r="J7" t="s">
        <v>54</v>
      </c>
      <c r="K7" t="s">
        <v>63</v>
      </c>
    </row>
    <row r="8" spans="1:11">
      <c r="A8" t="s">
        <v>17</v>
      </c>
      <c r="B8" t="s">
        <v>29</v>
      </c>
      <c r="C8" t="s">
        <v>41</v>
      </c>
      <c r="D8" s="1">
        <v>29</v>
      </c>
      <c r="E8" s="4">
        <v>7200</v>
      </c>
      <c r="F8">
        <v>500</v>
      </c>
      <c r="G8" s="7" t="s">
        <v>51</v>
      </c>
      <c r="H8" t="s">
        <v>1894</v>
      </c>
      <c r="I8" t="s">
        <v>970</v>
      </c>
      <c r="J8" t="s">
        <v>961</v>
      </c>
      <c r="K8" t="s">
        <v>967</v>
      </c>
    </row>
    <row r="9" spans="1:11">
      <c r="A9" t="s">
        <v>18</v>
      </c>
      <c r="B9" t="s">
        <v>30</v>
      </c>
      <c r="C9" t="s">
        <v>42</v>
      </c>
      <c r="F9" t="s">
        <v>958</v>
      </c>
      <c r="G9" s="5">
        <v>51039</v>
      </c>
      <c r="H9" t="s">
        <v>971</v>
      </c>
      <c r="I9">
        <v>55859430</v>
      </c>
      <c r="J9" t="s">
        <v>50</v>
      </c>
      <c r="K9" t="s">
        <v>967</v>
      </c>
    </row>
    <row r="10" spans="1:11">
      <c r="A10" t="s">
        <v>19</v>
      </c>
      <c r="B10" t="s">
        <v>31</v>
      </c>
      <c r="D10" s="1">
        <v>150</v>
      </c>
      <c r="E10" s="2">
        <v>9000</v>
      </c>
      <c r="G10" t="s">
        <v>972</v>
      </c>
      <c r="H10" t="s">
        <v>973</v>
      </c>
      <c r="I10" t="s">
        <v>974</v>
      </c>
    </row>
    <row r="11" spans="1:11">
      <c r="A11" t="s">
        <v>20</v>
      </c>
      <c r="B11" t="s">
        <v>32</v>
      </c>
      <c r="C11" t="s">
        <v>43</v>
      </c>
      <c r="D11" s="1">
        <v>-5</v>
      </c>
      <c r="E11">
        <v>-5000</v>
      </c>
      <c r="F11">
        <v>500</v>
      </c>
      <c r="G11" t="s">
        <v>975</v>
      </c>
      <c r="H11" t="s">
        <v>976</v>
      </c>
      <c r="I11" t="s">
        <v>969</v>
      </c>
      <c r="J11" t="s">
        <v>977</v>
      </c>
      <c r="K11" t="s">
        <v>967</v>
      </c>
    </row>
    <row r="12" spans="1:11">
      <c r="A12" t="s">
        <v>21</v>
      </c>
      <c r="B12" t="s">
        <v>553</v>
      </c>
      <c r="C12" t="s">
        <v>44</v>
      </c>
      <c r="D12" s="1">
        <v>31</v>
      </c>
      <c r="E12" s="4">
        <v>10000</v>
      </c>
      <c r="F12" s="2">
        <v>500</v>
      </c>
      <c r="G12" t="s">
        <v>978</v>
      </c>
      <c r="H12" t="s">
        <v>979</v>
      </c>
      <c r="I12" t="s">
        <v>980</v>
      </c>
      <c r="J12" t="s">
        <v>54</v>
      </c>
      <c r="K12" t="s">
        <v>967</v>
      </c>
    </row>
    <row r="13" spans="1:11">
      <c r="A13" t="s">
        <v>22</v>
      </c>
      <c r="B13" t="s">
        <v>34</v>
      </c>
      <c r="C13" t="s">
        <v>45</v>
      </c>
      <c r="D13" s="1" t="s">
        <v>50</v>
      </c>
      <c r="E13" t="s">
        <v>50</v>
      </c>
      <c r="F13">
        <v>1000</v>
      </c>
      <c r="H13" t="s">
        <v>981</v>
      </c>
      <c r="I13">
        <f>974-4653-7608</f>
        <v>-11287</v>
      </c>
      <c r="J13" t="s">
        <v>55</v>
      </c>
      <c r="K13" t="s">
        <v>67</v>
      </c>
    </row>
    <row r="14" spans="1:11">
      <c r="A14" t="s">
        <v>23</v>
      </c>
      <c r="B14" t="s">
        <v>33</v>
      </c>
      <c r="C14" t="s">
        <v>46</v>
      </c>
      <c r="D14" s="1">
        <v>27</v>
      </c>
      <c r="E14">
        <v>5500</v>
      </c>
      <c r="F14">
        <v>-50</v>
      </c>
      <c r="G14" t="s">
        <v>982</v>
      </c>
      <c r="H14" t="s">
        <v>983</v>
      </c>
      <c r="I14">
        <v>55031838</v>
      </c>
      <c r="J14" t="s">
        <v>60</v>
      </c>
      <c r="K14" t="s">
        <v>68</v>
      </c>
    </row>
    <row r="15" spans="1:11">
      <c r="A15" t="s">
        <v>24</v>
      </c>
      <c r="B15" t="s">
        <v>34</v>
      </c>
      <c r="C15" t="s">
        <v>47</v>
      </c>
      <c r="D15" s="1">
        <v>33</v>
      </c>
      <c r="E15" s="4">
        <v>6500</v>
      </c>
      <c r="F15">
        <v>300</v>
      </c>
      <c r="G15" s="5">
        <v>44197</v>
      </c>
      <c r="H15" t="s">
        <v>984</v>
      </c>
      <c r="I15">
        <f>974-5656-2009</f>
        <v>-6691</v>
      </c>
      <c r="J15" t="s">
        <v>60</v>
      </c>
      <c r="K15" t="s">
        <v>967</v>
      </c>
    </row>
    <row r="16" spans="1:11">
      <c r="A16" t="s">
        <v>25</v>
      </c>
      <c r="B16" t="s">
        <v>554</v>
      </c>
      <c r="C16" t="s">
        <v>35</v>
      </c>
      <c r="D16" s="1">
        <v>40</v>
      </c>
      <c r="E16">
        <v>7000</v>
      </c>
      <c r="F16">
        <v>-50</v>
      </c>
      <c r="G16" t="s">
        <v>985</v>
      </c>
      <c r="H16" t="s">
        <v>986</v>
      </c>
      <c r="I16">
        <v>97445192493</v>
      </c>
      <c r="J16" t="s">
        <v>54</v>
      </c>
      <c r="K16" t="s">
        <v>967</v>
      </c>
    </row>
    <row r="17" spans="1:11">
      <c r="A17" t="s">
        <v>25</v>
      </c>
      <c r="B17" t="s">
        <v>555</v>
      </c>
      <c r="C17" t="s">
        <v>35</v>
      </c>
      <c r="D17" s="1">
        <v>33</v>
      </c>
      <c r="E17" s="4">
        <v>6500</v>
      </c>
      <c r="F17" t="s">
        <v>1003</v>
      </c>
      <c r="G17" t="s">
        <v>987</v>
      </c>
      <c r="H17" t="s">
        <v>988</v>
      </c>
      <c r="I17" t="s">
        <v>989</v>
      </c>
      <c r="J17" t="s">
        <v>48</v>
      </c>
      <c r="K17" t="s">
        <v>61</v>
      </c>
    </row>
    <row r="18" spans="1:11">
      <c r="A18" t="s">
        <v>69</v>
      </c>
      <c r="B18" t="s">
        <v>556</v>
      </c>
      <c r="C18" t="s">
        <v>925</v>
      </c>
      <c r="D18" s="1">
        <v>22</v>
      </c>
      <c r="E18" s="2">
        <v>4500</v>
      </c>
      <c r="F18" t="s">
        <v>970</v>
      </c>
      <c r="G18" t="s">
        <v>990</v>
      </c>
      <c r="H18" t="s">
        <v>991</v>
      </c>
      <c r="I18" t="s">
        <v>992</v>
      </c>
      <c r="J18" t="s">
        <v>977</v>
      </c>
      <c r="K18" t="s">
        <v>65</v>
      </c>
    </row>
    <row r="19" spans="1:11">
      <c r="A19" t="s">
        <v>70</v>
      </c>
      <c r="B19" t="s">
        <v>557</v>
      </c>
      <c r="C19" t="s">
        <v>926</v>
      </c>
      <c r="D19" s="1" t="s">
        <v>48</v>
      </c>
      <c r="E19">
        <v>5200</v>
      </c>
      <c r="F19">
        <v>1250</v>
      </c>
      <c r="G19" s="5">
        <v>45639</v>
      </c>
      <c r="H19" t="s">
        <v>993</v>
      </c>
      <c r="I19" t="s">
        <v>994</v>
      </c>
      <c r="J19" t="s">
        <v>57</v>
      </c>
      <c r="K19" t="s">
        <v>967</v>
      </c>
    </row>
    <row r="20" spans="1:11">
      <c r="A20" t="s">
        <v>71</v>
      </c>
      <c r="B20" t="s">
        <v>558</v>
      </c>
      <c r="C20" t="s">
        <v>927</v>
      </c>
      <c r="D20" s="1">
        <v>45</v>
      </c>
      <c r="E20" s="4">
        <v>6800</v>
      </c>
      <c r="F20">
        <v>500</v>
      </c>
      <c r="G20" s="5">
        <v>44493</v>
      </c>
      <c r="H20" t="s">
        <v>995</v>
      </c>
      <c r="I20">
        <v>39879075</v>
      </c>
      <c r="J20" t="s">
        <v>56</v>
      </c>
      <c r="K20" t="s">
        <v>996</v>
      </c>
    </row>
    <row r="21" spans="1:11">
      <c r="A21" t="s">
        <v>72</v>
      </c>
      <c r="B21" t="s">
        <v>559</v>
      </c>
      <c r="C21" t="s">
        <v>928</v>
      </c>
      <c r="D21" s="1">
        <v>28</v>
      </c>
      <c r="E21" t="s">
        <v>48</v>
      </c>
      <c r="F21">
        <v>300</v>
      </c>
      <c r="G21" t="s">
        <v>997</v>
      </c>
      <c r="H21" t="s">
        <v>998</v>
      </c>
      <c r="I21">
        <v>32905889</v>
      </c>
      <c r="J21" t="s">
        <v>999</v>
      </c>
      <c r="K21" t="s">
        <v>63</v>
      </c>
    </row>
    <row r="22" spans="1:11">
      <c r="A22" t="s">
        <v>73</v>
      </c>
      <c r="B22" t="s">
        <v>560</v>
      </c>
      <c r="C22" t="s">
        <v>929</v>
      </c>
      <c r="D22" s="1">
        <v>36</v>
      </c>
      <c r="E22" s="2">
        <v>7250</v>
      </c>
      <c r="F22" t="s">
        <v>33</v>
      </c>
      <c r="G22" t="s">
        <v>1000</v>
      </c>
      <c r="H22" t="s">
        <v>1001</v>
      </c>
      <c r="I22" t="s">
        <v>1002</v>
      </c>
      <c r="J22" t="s">
        <v>48</v>
      </c>
      <c r="K22" t="s">
        <v>967</v>
      </c>
    </row>
    <row r="23" spans="1:11">
      <c r="A23" t="s">
        <v>74</v>
      </c>
      <c r="B23" t="s">
        <v>561</v>
      </c>
      <c r="C23" t="s">
        <v>930</v>
      </c>
      <c r="D23" s="1">
        <v>19</v>
      </c>
      <c r="E23">
        <v>4800</v>
      </c>
      <c r="F23" t="s">
        <v>1003</v>
      </c>
      <c r="G23" t="s">
        <v>1003</v>
      </c>
      <c r="H23" t="s">
        <v>1004</v>
      </c>
      <c r="I23">
        <v>59017135</v>
      </c>
      <c r="J23" t="s">
        <v>48</v>
      </c>
      <c r="K23" t="s">
        <v>64</v>
      </c>
    </row>
    <row r="24" spans="1:11">
      <c r="A24" t="s">
        <v>75</v>
      </c>
      <c r="B24" t="s">
        <v>562</v>
      </c>
      <c r="C24" t="s">
        <v>37</v>
      </c>
      <c r="D24" s="1" t="s">
        <v>33</v>
      </c>
      <c r="E24" s="4">
        <v>9500</v>
      </c>
      <c r="G24" t="s">
        <v>1005</v>
      </c>
      <c r="H24" t="s">
        <v>1006</v>
      </c>
      <c r="I24" t="s">
        <v>1007</v>
      </c>
      <c r="J24" t="s">
        <v>55</v>
      </c>
      <c r="K24" t="s">
        <v>63</v>
      </c>
    </row>
    <row r="25" spans="1:11">
      <c r="A25" t="s">
        <v>76</v>
      </c>
      <c r="B25" t="s">
        <v>563</v>
      </c>
      <c r="C25" t="s">
        <v>931</v>
      </c>
      <c r="D25" s="1">
        <v>125</v>
      </c>
      <c r="E25" t="s">
        <v>50</v>
      </c>
      <c r="F25" t="s">
        <v>962</v>
      </c>
      <c r="G25" t="s">
        <v>51</v>
      </c>
      <c r="H25" t="s">
        <v>1008</v>
      </c>
      <c r="I25" t="s">
        <v>1009</v>
      </c>
      <c r="J25" t="s">
        <v>50</v>
      </c>
      <c r="K25" t="s">
        <v>61</v>
      </c>
    </row>
    <row r="26" spans="1:11">
      <c r="A26" t="s">
        <v>77</v>
      </c>
      <c r="B26" t="s">
        <v>564</v>
      </c>
      <c r="C26" t="s">
        <v>38</v>
      </c>
      <c r="D26" s="1">
        <v>-2</v>
      </c>
      <c r="E26" s="4">
        <v>5750</v>
      </c>
      <c r="F26" t="s">
        <v>1010</v>
      </c>
      <c r="G26" t="s">
        <v>1011</v>
      </c>
      <c r="H26" t="s">
        <v>1012</v>
      </c>
      <c r="I26" t="s">
        <v>1013</v>
      </c>
      <c r="J26" t="s">
        <v>977</v>
      </c>
      <c r="K26" t="s">
        <v>50</v>
      </c>
    </row>
    <row r="27" spans="1:11">
      <c r="A27" t="s">
        <v>78</v>
      </c>
      <c r="B27" t="s">
        <v>565</v>
      </c>
      <c r="C27" t="s">
        <v>932</v>
      </c>
      <c r="D27" s="1">
        <v>34</v>
      </c>
      <c r="E27">
        <v>6000</v>
      </c>
      <c r="F27" t="s">
        <v>1014</v>
      </c>
      <c r="G27" t="s">
        <v>1015</v>
      </c>
      <c r="H27" t="s">
        <v>1016</v>
      </c>
      <c r="I27">
        <v>97430013586</v>
      </c>
      <c r="J27" t="s">
        <v>1017</v>
      </c>
      <c r="K27" t="s">
        <v>996</v>
      </c>
    </row>
    <row r="28" spans="1:11">
      <c r="A28" t="s">
        <v>79</v>
      </c>
      <c r="B28" t="s">
        <v>566</v>
      </c>
      <c r="C28" t="s">
        <v>933</v>
      </c>
      <c r="D28" s="1">
        <v>41</v>
      </c>
      <c r="E28" s="2">
        <v>8200</v>
      </c>
      <c r="F28" t="s">
        <v>50</v>
      </c>
      <c r="G28" t="s">
        <v>52</v>
      </c>
      <c r="I28" t="s">
        <v>1018</v>
      </c>
      <c r="J28" t="s">
        <v>56</v>
      </c>
      <c r="K28" t="s">
        <v>63</v>
      </c>
    </row>
    <row r="29" spans="1:11">
      <c r="A29" t="s">
        <v>80</v>
      </c>
      <c r="B29" t="s">
        <v>567</v>
      </c>
      <c r="C29" t="s">
        <v>42</v>
      </c>
      <c r="D29" s="1" t="s">
        <v>944</v>
      </c>
      <c r="E29">
        <v>-1000</v>
      </c>
      <c r="F29">
        <v>250</v>
      </c>
      <c r="G29" s="5">
        <v>45352</v>
      </c>
      <c r="H29" t="s">
        <v>1019</v>
      </c>
      <c r="I29">
        <v>41162889</v>
      </c>
      <c r="J29" t="s">
        <v>999</v>
      </c>
      <c r="K29" t="s">
        <v>48</v>
      </c>
    </row>
    <row r="30" spans="1:11">
      <c r="A30" t="s">
        <v>81</v>
      </c>
      <c r="B30" t="s">
        <v>568</v>
      </c>
      <c r="C30" t="s">
        <v>934</v>
      </c>
      <c r="D30" s="1">
        <v>26</v>
      </c>
      <c r="E30" s="4">
        <v>7000</v>
      </c>
      <c r="F30">
        <v>-200</v>
      </c>
      <c r="G30" s="5">
        <v>44116</v>
      </c>
      <c r="H30" t="s">
        <v>50</v>
      </c>
      <c r="I30" t="s">
        <v>1020</v>
      </c>
      <c r="J30" t="s">
        <v>55</v>
      </c>
      <c r="K30" t="s">
        <v>66</v>
      </c>
    </row>
    <row r="31" spans="1:11">
      <c r="A31" t="s">
        <v>82</v>
      </c>
      <c r="B31" t="s">
        <v>569</v>
      </c>
      <c r="C31" t="s">
        <v>43</v>
      </c>
      <c r="D31" s="1">
        <v>38</v>
      </c>
      <c r="E31" t="s">
        <v>945</v>
      </c>
      <c r="F31">
        <v>250</v>
      </c>
      <c r="G31" t="s">
        <v>1021</v>
      </c>
      <c r="H31" t="s">
        <v>1022</v>
      </c>
      <c r="I31" t="s">
        <v>1023</v>
      </c>
      <c r="J31" t="s">
        <v>50</v>
      </c>
      <c r="K31" t="s">
        <v>66</v>
      </c>
    </row>
    <row r="32" spans="1:11">
      <c r="A32" t="s">
        <v>83</v>
      </c>
      <c r="B32" t="s">
        <v>570</v>
      </c>
      <c r="C32" t="s">
        <v>935</v>
      </c>
      <c r="D32" s="1" t="s">
        <v>48</v>
      </c>
      <c r="E32">
        <v>6500</v>
      </c>
      <c r="F32">
        <v>1000</v>
      </c>
      <c r="G32" t="s">
        <v>1024</v>
      </c>
      <c r="H32" t="s">
        <v>1025</v>
      </c>
      <c r="I32" t="s">
        <v>1026</v>
      </c>
      <c r="J32" t="s">
        <v>60</v>
      </c>
      <c r="K32" t="s">
        <v>66</v>
      </c>
    </row>
    <row r="33" spans="1:11">
      <c r="A33" t="s">
        <v>84</v>
      </c>
      <c r="B33" t="s">
        <v>571</v>
      </c>
      <c r="C33" t="s">
        <v>936</v>
      </c>
      <c r="D33" s="1">
        <v>23</v>
      </c>
      <c r="E33" s="2">
        <v>5500</v>
      </c>
      <c r="F33">
        <v>250</v>
      </c>
      <c r="G33" s="5">
        <v>45512</v>
      </c>
      <c r="H33" t="s">
        <v>1027</v>
      </c>
      <c r="I33">
        <f>974-4124-5950</f>
        <v>-9100</v>
      </c>
      <c r="J33" t="s">
        <v>58</v>
      </c>
      <c r="K33" t="s">
        <v>996</v>
      </c>
    </row>
    <row r="34" spans="1:11">
      <c r="A34" t="s">
        <v>85</v>
      </c>
      <c r="B34" t="s">
        <v>572</v>
      </c>
      <c r="C34" t="s">
        <v>928</v>
      </c>
      <c r="D34" s="1">
        <v>44</v>
      </c>
      <c r="E34">
        <v>7200</v>
      </c>
      <c r="F34">
        <v>750</v>
      </c>
      <c r="G34" t="s">
        <v>1028</v>
      </c>
      <c r="H34" t="s">
        <v>1029</v>
      </c>
      <c r="I34">
        <v>37354619</v>
      </c>
      <c r="J34" t="s">
        <v>977</v>
      </c>
      <c r="K34" t="s">
        <v>68</v>
      </c>
    </row>
    <row r="35" spans="1:11">
      <c r="A35" t="s">
        <v>86</v>
      </c>
      <c r="B35" t="s">
        <v>33</v>
      </c>
      <c r="C35" t="s">
        <v>925</v>
      </c>
      <c r="D35" s="1">
        <v>32</v>
      </c>
      <c r="E35" s="4">
        <v>6250</v>
      </c>
      <c r="F35">
        <v>500</v>
      </c>
      <c r="G35" s="5">
        <v>45102</v>
      </c>
      <c r="H35" t="s">
        <v>48</v>
      </c>
      <c r="I35" t="s">
        <v>1030</v>
      </c>
      <c r="J35" t="s">
        <v>58</v>
      </c>
      <c r="K35" t="s">
        <v>65</v>
      </c>
    </row>
    <row r="36" spans="1:11">
      <c r="A36" t="s">
        <v>87</v>
      </c>
      <c r="B36" t="s">
        <v>573</v>
      </c>
      <c r="C36" t="s">
        <v>937</v>
      </c>
      <c r="D36" s="1" t="s">
        <v>945</v>
      </c>
      <c r="E36" t="s">
        <v>48</v>
      </c>
      <c r="F36">
        <v>250</v>
      </c>
      <c r="G36" t="s">
        <v>1031</v>
      </c>
      <c r="H36" t="s">
        <v>1032</v>
      </c>
      <c r="I36">
        <f>974-5264-7387</f>
        <v>-11677</v>
      </c>
      <c r="J36" t="s">
        <v>999</v>
      </c>
      <c r="K36" t="s">
        <v>996</v>
      </c>
    </row>
    <row r="37" spans="1:11">
      <c r="A37" t="s">
        <v>88</v>
      </c>
      <c r="B37" t="s">
        <v>574</v>
      </c>
      <c r="C37" t="s">
        <v>47</v>
      </c>
      <c r="D37" s="1">
        <v>29</v>
      </c>
      <c r="E37">
        <v>8000</v>
      </c>
      <c r="F37">
        <v>250</v>
      </c>
      <c r="G37" t="s">
        <v>1033</v>
      </c>
      <c r="H37" t="s">
        <v>1034</v>
      </c>
      <c r="I37" t="s">
        <v>1035</v>
      </c>
      <c r="J37" t="s">
        <v>55</v>
      </c>
      <c r="K37" t="s">
        <v>996</v>
      </c>
    </row>
    <row r="38" spans="1:11">
      <c r="A38" t="s">
        <v>89</v>
      </c>
      <c r="B38" t="s">
        <v>575</v>
      </c>
      <c r="C38" t="s">
        <v>38</v>
      </c>
      <c r="D38" s="1">
        <v>17</v>
      </c>
      <c r="E38" s="2">
        <v>9750</v>
      </c>
      <c r="F38">
        <v>-50</v>
      </c>
      <c r="G38" s="5">
        <v>45083</v>
      </c>
      <c r="H38" t="s">
        <v>1036</v>
      </c>
      <c r="I38" t="s">
        <v>1037</v>
      </c>
      <c r="J38" t="s">
        <v>59</v>
      </c>
      <c r="K38" t="s">
        <v>996</v>
      </c>
    </row>
    <row r="39" spans="1:11">
      <c r="A39" t="s">
        <v>90</v>
      </c>
      <c r="B39" t="s">
        <v>576</v>
      </c>
      <c r="C39" t="s">
        <v>41</v>
      </c>
      <c r="D39" s="1">
        <v>55</v>
      </c>
      <c r="E39">
        <v>4500</v>
      </c>
      <c r="G39" t="s">
        <v>50</v>
      </c>
      <c r="H39" t="s">
        <v>48</v>
      </c>
      <c r="I39">
        <v>67031630</v>
      </c>
      <c r="J39" t="s">
        <v>57</v>
      </c>
      <c r="K39" t="s">
        <v>62</v>
      </c>
    </row>
    <row r="40" spans="1:11">
      <c r="A40" t="s">
        <v>91</v>
      </c>
      <c r="B40" t="s">
        <v>577</v>
      </c>
      <c r="C40" t="s">
        <v>938</v>
      </c>
      <c r="D40" s="1">
        <v>200</v>
      </c>
      <c r="E40" t="s">
        <v>50</v>
      </c>
      <c r="F40" t="s">
        <v>962</v>
      </c>
      <c r="G40" t="s">
        <v>1038</v>
      </c>
      <c r="H40" t="s">
        <v>1039</v>
      </c>
      <c r="I40" t="s">
        <v>1040</v>
      </c>
      <c r="J40" t="s">
        <v>48</v>
      </c>
      <c r="K40" t="s">
        <v>65</v>
      </c>
    </row>
    <row r="41" spans="1:11">
      <c r="A41" t="s">
        <v>92</v>
      </c>
      <c r="B41" t="s">
        <v>578</v>
      </c>
      <c r="C41" t="s">
        <v>43</v>
      </c>
      <c r="D41" s="1">
        <v>24</v>
      </c>
      <c r="E41" s="4">
        <v>5000</v>
      </c>
      <c r="F41" t="s">
        <v>50</v>
      </c>
      <c r="G41" s="5">
        <v>44173</v>
      </c>
      <c r="H41" t="s">
        <v>1041</v>
      </c>
      <c r="I41" t="s">
        <v>1042</v>
      </c>
      <c r="J41" t="s">
        <v>58</v>
      </c>
      <c r="K41" t="s">
        <v>63</v>
      </c>
    </row>
    <row r="42" spans="1:11">
      <c r="A42" t="s">
        <v>93</v>
      </c>
      <c r="B42" t="s">
        <v>579</v>
      </c>
      <c r="C42" t="s">
        <v>35</v>
      </c>
      <c r="D42" s="1">
        <v>39</v>
      </c>
      <c r="E42">
        <v>6800</v>
      </c>
      <c r="F42">
        <v>500</v>
      </c>
      <c r="G42" s="5">
        <v>43860</v>
      </c>
      <c r="H42" t="s">
        <v>1043</v>
      </c>
      <c r="I42" t="s">
        <v>1044</v>
      </c>
      <c r="K42" t="s">
        <v>50</v>
      </c>
    </row>
    <row r="43" spans="1:11">
      <c r="A43" t="s">
        <v>94</v>
      </c>
      <c r="B43" t="s">
        <v>580</v>
      </c>
      <c r="C43" t="s">
        <v>939</v>
      </c>
      <c r="D43" s="1" t="s">
        <v>48</v>
      </c>
      <c r="E43" s="2">
        <v>7100</v>
      </c>
      <c r="F43">
        <v>500</v>
      </c>
      <c r="G43" t="s">
        <v>1045</v>
      </c>
      <c r="H43" t="s">
        <v>1046</v>
      </c>
      <c r="I43" t="s">
        <v>48</v>
      </c>
      <c r="J43" t="s">
        <v>58</v>
      </c>
      <c r="K43" t="s">
        <v>967</v>
      </c>
    </row>
    <row r="44" spans="1:11">
      <c r="A44" t="s">
        <v>95</v>
      </c>
      <c r="B44" t="s">
        <v>581</v>
      </c>
      <c r="C44" t="s">
        <v>39</v>
      </c>
      <c r="D44" s="1">
        <v>31</v>
      </c>
      <c r="E44">
        <v>5500</v>
      </c>
      <c r="F44">
        <v>1000</v>
      </c>
      <c r="G44" s="5">
        <v>44652</v>
      </c>
      <c r="H44" t="s">
        <v>1047</v>
      </c>
      <c r="I44" t="s">
        <v>1048</v>
      </c>
      <c r="J44" t="s">
        <v>56</v>
      </c>
      <c r="K44" t="s">
        <v>63</v>
      </c>
    </row>
    <row r="45" spans="1:11">
      <c r="A45" t="s">
        <v>96</v>
      </c>
      <c r="B45" t="s">
        <v>582</v>
      </c>
      <c r="C45" t="s">
        <v>42</v>
      </c>
      <c r="D45" s="1" t="s">
        <v>50</v>
      </c>
      <c r="E45">
        <v>-250</v>
      </c>
      <c r="G45" t="s">
        <v>1049</v>
      </c>
      <c r="H45" t="s">
        <v>1050</v>
      </c>
      <c r="I45" t="s">
        <v>1051</v>
      </c>
      <c r="J45" t="s">
        <v>50</v>
      </c>
      <c r="K45" t="s">
        <v>996</v>
      </c>
    </row>
    <row r="46" spans="1:11">
      <c r="A46" t="s">
        <v>97</v>
      </c>
      <c r="B46" t="s">
        <v>583</v>
      </c>
      <c r="C46" t="s">
        <v>45</v>
      </c>
      <c r="D46" s="1">
        <v>28</v>
      </c>
      <c r="E46">
        <v>6200</v>
      </c>
      <c r="G46" s="5">
        <v>44394</v>
      </c>
      <c r="H46" t="s">
        <v>1052</v>
      </c>
      <c r="I46">
        <f>974-6091-2981</f>
        <v>-8098</v>
      </c>
      <c r="J46" t="s">
        <v>59</v>
      </c>
      <c r="K46" t="s">
        <v>61</v>
      </c>
    </row>
    <row r="47" spans="1:11">
      <c r="A47" t="s">
        <v>98</v>
      </c>
      <c r="B47" t="s">
        <v>584</v>
      </c>
      <c r="C47" t="s">
        <v>37</v>
      </c>
      <c r="D47" s="1">
        <v>46</v>
      </c>
      <c r="E47" t="s">
        <v>48</v>
      </c>
      <c r="F47">
        <v>500</v>
      </c>
      <c r="G47" s="5">
        <v>45384</v>
      </c>
      <c r="H47" t="s">
        <v>1053</v>
      </c>
      <c r="I47" t="s">
        <v>1054</v>
      </c>
      <c r="J47" t="s">
        <v>57</v>
      </c>
      <c r="K47" t="s">
        <v>62</v>
      </c>
    </row>
    <row r="48" spans="1:11">
      <c r="A48" t="s">
        <v>99</v>
      </c>
      <c r="B48" t="s">
        <v>585</v>
      </c>
      <c r="C48" t="s">
        <v>928</v>
      </c>
      <c r="D48" s="1">
        <v>33</v>
      </c>
      <c r="E48" s="2">
        <v>8500</v>
      </c>
      <c r="F48" t="s">
        <v>1055</v>
      </c>
      <c r="G48" s="5">
        <v>43577</v>
      </c>
      <c r="H48" t="s">
        <v>1056</v>
      </c>
      <c r="I48">
        <f>974-4964-4959</f>
        <v>-8949</v>
      </c>
      <c r="J48" t="s">
        <v>48</v>
      </c>
      <c r="K48" t="s">
        <v>50</v>
      </c>
    </row>
    <row r="49" spans="1:11">
      <c r="A49" t="s">
        <v>100</v>
      </c>
      <c r="B49" t="s">
        <v>586</v>
      </c>
      <c r="C49" t="s">
        <v>46</v>
      </c>
      <c r="D49" s="1">
        <v>21</v>
      </c>
      <c r="E49">
        <v>7000</v>
      </c>
      <c r="F49" t="s">
        <v>962</v>
      </c>
      <c r="G49" s="5">
        <v>44248</v>
      </c>
      <c r="H49" t="s">
        <v>1057</v>
      </c>
      <c r="I49" t="s">
        <v>1058</v>
      </c>
      <c r="J49" t="s">
        <v>1017</v>
      </c>
      <c r="K49" t="s">
        <v>65</v>
      </c>
    </row>
    <row r="50" spans="1:11">
      <c r="A50" t="s">
        <v>101</v>
      </c>
      <c r="B50" t="s">
        <v>587</v>
      </c>
      <c r="C50" t="s">
        <v>940</v>
      </c>
      <c r="D50" s="1">
        <v>37</v>
      </c>
      <c r="E50" s="4">
        <v>5250</v>
      </c>
      <c r="F50">
        <v>250</v>
      </c>
      <c r="G50" s="5">
        <v>44270</v>
      </c>
      <c r="H50" t="s">
        <v>1059</v>
      </c>
      <c r="I50">
        <f>974-4026-1290</f>
        <v>-4342</v>
      </c>
      <c r="J50" t="s">
        <v>50</v>
      </c>
      <c r="K50" t="s">
        <v>61</v>
      </c>
    </row>
    <row r="51" spans="1:11">
      <c r="A51" t="s">
        <v>102</v>
      </c>
      <c r="B51" t="s">
        <v>588</v>
      </c>
      <c r="C51" t="s">
        <v>35</v>
      </c>
      <c r="D51" s="1">
        <v>-10</v>
      </c>
      <c r="E51" t="s">
        <v>50</v>
      </c>
      <c r="F51">
        <v>1000</v>
      </c>
      <c r="G51" t="s">
        <v>1060</v>
      </c>
      <c r="H51" t="s">
        <v>1061</v>
      </c>
      <c r="I51">
        <f>974-7656-1972</f>
        <v>-8654</v>
      </c>
      <c r="J51" t="s">
        <v>48</v>
      </c>
      <c r="K51" t="s">
        <v>63</v>
      </c>
    </row>
    <row r="52" spans="1:11">
      <c r="A52" t="s">
        <v>103</v>
      </c>
      <c r="B52" t="s">
        <v>589</v>
      </c>
      <c r="C52" t="s">
        <v>933</v>
      </c>
      <c r="D52" s="1">
        <v>43</v>
      </c>
      <c r="E52" s="2">
        <v>6000</v>
      </c>
      <c r="G52" t="s">
        <v>1062</v>
      </c>
      <c r="H52" t="s">
        <v>1063</v>
      </c>
      <c r="I52">
        <v>123</v>
      </c>
      <c r="J52" t="s">
        <v>54</v>
      </c>
      <c r="K52" t="s">
        <v>66</v>
      </c>
    </row>
    <row r="53" spans="1:11">
      <c r="A53" t="s">
        <v>104</v>
      </c>
      <c r="B53" t="s">
        <v>590</v>
      </c>
      <c r="C53" t="s">
        <v>941</v>
      </c>
      <c r="D53" s="1">
        <v>27</v>
      </c>
      <c r="E53" s="4">
        <v>7500</v>
      </c>
      <c r="F53">
        <v>500</v>
      </c>
      <c r="G53" s="5">
        <v>44567</v>
      </c>
      <c r="H53" t="s">
        <v>1064</v>
      </c>
      <c r="I53" t="s">
        <v>1065</v>
      </c>
      <c r="J53" t="s">
        <v>999</v>
      </c>
      <c r="K53" t="s">
        <v>64</v>
      </c>
    </row>
    <row r="54" spans="1:11">
      <c r="A54" t="s">
        <v>105</v>
      </c>
      <c r="B54" t="s">
        <v>591</v>
      </c>
      <c r="C54" t="s">
        <v>47</v>
      </c>
      <c r="D54" s="1" t="s">
        <v>48</v>
      </c>
      <c r="E54">
        <v>5200</v>
      </c>
      <c r="F54">
        <v>250</v>
      </c>
      <c r="G54" t="s">
        <v>50</v>
      </c>
      <c r="H54" t="s">
        <v>1066</v>
      </c>
      <c r="I54">
        <f>974-4176-4361</f>
        <v>-7563</v>
      </c>
      <c r="J54" t="s">
        <v>1017</v>
      </c>
      <c r="K54" t="s">
        <v>50</v>
      </c>
    </row>
    <row r="55" spans="1:11">
      <c r="A55" t="s">
        <v>106</v>
      </c>
      <c r="B55" t="s">
        <v>592</v>
      </c>
      <c r="C55" t="s">
        <v>942</v>
      </c>
      <c r="D55" s="1" t="s">
        <v>946</v>
      </c>
      <c r="E55" t="s">
        <v>48</v>
      </c>
      <c r="F55">
        <v>1250</v>
      </c>
      <c r="G55" s="5">
        <v>45549</v>
      </c>
      <c r="H55" t="s">
        <v>1067</v>
      </c>
      <c r="I55">
        <v>45333206</v>
      </c>
      <c r="J55" t="s">
        <v>1017</v>
      </c>
      <c r="K55" t="s">
        <v>67</v>
      </c>
    </row>
    <row r="56" spans="1:11">
      <c r="A56" t="s">
        <v>107</v>
      </c>
      <c r="B56" t="s">
        <v>593</v>
      </c>
      <c r="C56" t="s">
        <v>38</v>
      </c>
      <c r="D56" s="1">
        <v>30</v>
      </c>
      <c r="E56" s="4">
        <v>9000</v>
      </c>
      <c r="F56">
        <v>0</v>
      </c>
      <c r="G56" t="s">
        <v>1068</v>
      </c>
      <c r="H56" t="s">
        <v>1069</v>
      </c>
      <c r="I56" t="s">
        <v>1003</v>
      </c>
      <c r="K56" t="s">
        <v>967</v>
      </c>
    </row>
    <row r="57" spans="1:11">
      <c r="A57" t="s">
        <v>108</v>
      </c>
      <c r="B57" t="s">
        <v>33</v>
      </c>
      <c r="C57" t="s">
        <v>35</v>
      </c>
      <c r="D57" s="1">
        <v>49</v>
      </c>
      <c r="E57" s="2">
        <v>4800</v>
      </c>
      <c r="F57" s="2">
        <v>1000</v>
      </c>
      <c r="G57" t="s">
        <v>50</v>
      </c>
      <c r="H57" t="s">
        <v>1070</v>
      </c>
      <c r="I57" t="s">
        <v>1071</v>
      </c>
      <c r="J57" t="s">
        <v>977</v>
      </c>
      <c r="K57" t="s">
        <v>65</v>
      </c>
    </row>
    <row r="58" spans="1:11">
      <c r="A58" t="s">
        <v>109</v>
      </c>
      <c r="B58" t="s">
        <v>594</v>
      </c>
      <c r="C58" t="s">
        <v>37</v>
      </c>
      <c r="D58" s="1">
        <v>18</v>
      </c>
      <c r="E58">
        <v>6500</v>
      </c>
      <c r="F58" t="s">
        <v>33</v>
      </c>
      <c r="G58" t="s">
        <v>1072</v>
      </c>
      <c r="H58" t="s">
        <v>1073</v>
      </c>
      <c r="I58" t="s">
        <v>1074</v>
      </c>
      <c r="J58" t="s">
        <v>50</v>
      </c>
      <c r="K58" t="s">
        <v>63</v>
      </c>
    </row>
    <row r="59" spans="1:11">
      <c r="A59" t="s">
        <v>110</v>
      </c>
      <c r="B59" t="s">
        <v>595</v>
      </c>
      <c r="C59" t="s">
        <v>933</v>
      </c>
      <c r="D59" s="1">
        <v>140</v>
      </c>
      <c r="E59">
        <v>7200</v>
      </c>
      <c r="F59" t="s">
        <v>33</v>
      </c>
      <c r="G59" t="s">
        <v>1075</v>
      </c>
      <c r="H59" t="s">
        <v>1076</v>
      </c>
      <c r="I59" t="s">
        <v>1077</v>
      </c>
      <c r="J59" t="s">
        <v>48</v>
      </c>
      <c r="K59" t="s">
        <v>996</v>
      </c>
    </row>
    <row r="60" spans="1:11">
      <c r="A60" t="s">
        <v>111</v>
      </c>
      <c r="B60" t="s">
        <v>596</v>
      </c>
      <c r="C60" t="s">
        <v>925</v>
      </c>
      <c r="D60" s="1">
        <v>35</v>
      </c>
      <c r="E60" t="s">
        <v>50</v>
      </c>
      <c r="F60">
        <v>-200</v>
      </c>
      <c r="G60" t="s">
        <v>1078</v>
      </c>
      <c r="H60" t="s">
        <v>1079</v>
      </c>
      <c r="I60" t="s">
        <v>1080</v>
      </c>
      <c r="J60" t="s">
        <v>54</v>
      </c>
    </row>
    <row r="61" spans="1:11">
      <c r="A61" t="s">
        <v>112</v>
      </c>
      <c r="B61" t="s">
        <v>597</v>
      </c>
      <c r="C61" t="s">
        <v>45</v>
      </c>
      <c r="D61" s="1">
        <v>26</v>
      </c>
      <c r="E61" s="2">
        <v>5750</v>
      </c>
      <c r="F61" t="s">
        <v>33</v>
      </c>
      <c r="H61" t="s">
        <v>1081</v>
      </c>
      <c r="I61" t="s">
        <v>1082</v>
      </c>
      <c r="J61" t="s">
        <v>56</v>
      </c>
      <c r="K61" t="s">
        <v>50</v>
      </c>
    </row>
    <row r="62" spans="1:11">
      <c r="A62" t="s">
        <v>113</v>
      </c>
      <c r="B62" t="s">
        <v>598</v>
      </c>
      <c r="C62" t="s">
        <v>928</v>
      </c>
      <c r="D62" s="1" t="s">
        <v>50</v>
      </c>
      <c r="E62">
        <v>-3000</v>
      </c>
      <c r="F62">
        <v>1250</v>
      </c>
      <c r="G62" s="5">
        <v>45140</v>
      </c>
      <c r="H62" t="s">
        <v>1083</v>
      </c>
      <c r="I62" t="s">
        <v>48</v>
      </c>
      <c r="J62" t="s">
        <v>48</v>
      </c>
      <c r="K62" t="s">
        <v>67</v>
      </c>
    </row>
    <row r="63" spans="1:11">
      <c r="A63" t="s">
        <v>114</v>
      </c>
      <c r="B63" t="s">
        <v>599</v>
      </c>
      <c r="C63" t="s">
        <v>39</v>
      </c>
      <c r="D63" s="1">
        <v>40</v>
      </c>
      <c r="E63">
        <v>8000</v>
      </c>
      <c r="F63">
        <v>500</v>
      </c>
      <c r="G63" t="s">
        <v>1084</v>
      </c>
      <c r="H63" t="s">
        <v>1085</v>
      </c>
      <c r="I63" t="s">
        <v>1086</v>
      </c>
      <c r="J63" t="s">
        <v>977</v>
      </c>
      <c r="K63" t="s">
        <v>67</v>
      </c>
    </row>
    <row r="64" spans="1:11">
      <c r="A64" t="s">
        <v>115</v>
      </c>
      <c r="B64" t="s">
        <v>600</v>
      </c>
      <c r="C64" t="s">
        <v>46</v>
      </c>
      <c r="D64" s="1">
        <v>22</v>
      </c>
      <c r="E64" s="4">
        <v>6500</v>
      </c>
      <c r="F64" t="s">
        <v>1014</v>
      </c>
      <c r="G64" t="s">
        <v>978</v>
      </c>
      <c r="H64" t="s">
        <v>1087</v>
      </c>
      <c r="I64" t="s">
        <v>1088</v>
      </c>
      <c r="J64" t="s">
        <v>54</v>
      </c>
      <c r="K64" t="s">
        <v>65</v>
      </c>
    </row>
    <row r="65" spans="1:11">
      <c r="A65" t="s">
        <v>116</v>
      </c>
      <c r="B65" t="s">
        <v>601</v>
      </c>
      <c r="C65" t="s">
        <v>943</v>
      </c>
      <c r="D65" s="1" t="s">
        <v>48</v>
      </c>
      <c r="E65" t="s">
        <v>48</v>
      </c>
      <c r="F65" t="s">
        <v>33</v>
      </c>
      <c r="G65" t="s">
        <v>1089</v>
      </c>
      <c r="H65" t="s">
        <v>1090</v>
      </c>
      <c r="I65">
        <f>974-6131-4658</f>
        <v>-9815</v>
      </c>
      <c r="J65" t="s">
        <v>1017</v>
      </c>
    </row>
    <row r="66" spans="1:11">
      <c r="A66" t="s">
        <v>117</v>
      </c>
      <c r="B66" t="s">
        <v>602</v>
      </c>
      <c r="C66" t="s">
        <v>35</v>
      </c>
      <c r="D66" s="1">
        <v>34</v>
      </c>
      <c r="E66" s="2">
        <v>9200</v>
      </c>
      <c r="F66" t="s">
        <v>958</v>
      </c>
      <c r="G66" t="s">
        <v>1091</v>
      </c>
      <c r="H66" t="s">
        <v>48</v>
      </c>
      <c r="I66">
        <v>32252646</v>
      </c>
      <c r="J66" t="s">
        <v>57</v>
      </c>
      <c r="K66" t="s">
        <v>64</v>
      </c>
    </row>
    <row r="67" spans="1:11">
      <c r="A67" t="s">
        <v>118</v>
      </c>
      <c r="B67" t="s">
        <v>603</v>
      </c>
      <c r="C67" t="s">
        <v>43</v>
      </c>
      <c r="D67" s="1">
        <v>29</v>
      </c>
      <c r="E67">
        <v>5500</v>
      </c>
      <c r="F67" s="2">
        <v>750</v>
      </c>
      <c r="G67" t="s">
        <v>1092</v>
      </c>
      <c r="H67" t="s">
        <v>1093</v>
      </c>
      <c r="I67" t="s">
        <v>1094</v>
      </c>
      <c r="J67" t="s">
        <v>58</v>
      </c>
      <c r="K67" t="s">
        <v>63</v>
      </c>
    </row>
    <row r="68" spans="1:11">
      <c r="A68" t="s">
        <v>119</v>
      </c>
      <c r="B68" t="s">
        <v>604</v>
      </c>
      <c r="C68" t="s">
        <v>928</v>
      </c>
      <c r="D68" s="1">
        <v>41</v>
      </c>
      <c r="E68" s="4">
        <v>7000</v>
      </c>
      <c r="F68" s="2">
        <v>500</v>
      </c>
      <c r="G68" t="s">
        <v>1095</v>
      </c>
      <c r="H68" t="s">
        <v>1096</v>
      </c>
      <c r="I68" t="s">
        <v>50</v>
      </c>
      <c r="J68" t="s">
        <v>50</v>
      </c>
      <c r="K68" t="s">
        <v>61</v>
      </c>
    </row>
    <row r="69" spans="1:11">
      <c r="A69" t="s">
        <v>120</v>
      </c>
      <c r="B69" t="s">
        <v>605</v>
      </c>
      <c r="C69" t="s">
        <v>925</v>
      </c>
      <c r="D69" s="1">
        <v>250</v>
      </c>
      <c r="E69" t="s">
        <v>50</v>
      </c>
      <c r="F69">
        <v>300</v>
      </c>
      <c r="G69" t="s">
        <v>1097</v>
      </c>
      <c r="H69" t="s">
        <v>1098</v>
      </c>
      <c r="I69">
        <v>49078072</v>
      </c>
      <c r="J69" t="s">
        <v>961</v>
      </c>
      <c r="K69" t="s">
        <v>68</v>
      </c>
    </row>
    <row r="70" spans="1:11">
      <c r="A70" t="s">
        <v>121</v>
      </c>
      <c r="B70" t="s">
        <v>606</v>
      </c>
      <c r="C70" t="s">
        <v>40</v>
      </c>
      <c r="D70" s="1">
        <v>31</v>
      </c>
      <c r="E70" s="2">
        <v>6750</v>
      </c>
      <c r="F70">
        <v>1000</v>
      </c>
      <c r="G70" s="5">
        <v>44270</v>
      </c>
      <c r="H70" t="s">
        <v>1018</v>
      </c>
      <c r="I70" t="s">
        <v>1099</v>
      </c>
      <c r="J70" t="s">
        <v>56</v>
      </c>
      <c r="K70" t="s">
        <v>48</v>
      </c>
    </row>
    <row r="71" spans="1:11">
      <c r="A71" t="s">
        <v>122</v>
      </c>
      <c r="B71" t="s">
        <v>607</v>
      </c>
      <c r="C71" t="s">
        <v>47</v>
      </c>
      <c r="D71" s="1" t="s">
        <v>947</v>
      </c>
      <c r="E71">
        <v>4800</v>
      </c>
      <c r="F71">
        <v>300</v>
      </c>
      <c r="G71" s="5">
        <v>43599</v>
      </c>
      <c r="H71" t="s">
        <v>1100</v>
      </c>
      <c r="I71" t="s">
        <v>1101</v>
      </c>
      <c r="J71" t="s">
        <v>977</v>
      </c>
      <c r="K71" t="s">
        <v>61</v>
      </c>
    </row>
    <row r="72" spans="1:11">
      <c r="A72" t="s">
        <v>123</v>
      </c>
      <c r="B72" t="s">
        <v>608</v>
      </c>
      <c r="C72" t="s">
        <v>937</v>
      </c>
      <c r="D72" s="1">
        <v>37</v>
      </c>
      <c r="E72" s="4">
        <v>8500</v>
      </c>
      <c r="F72">
        <v>500</v>
      </c>
      <c r="G72" t="s">
        <v>48</v>
      </c>
      <c r="H72" t="s">
        <v>1102</v>
      </c>
      <c r="I72">
        <f>974-4947-2658</f>
        <v>-6631</v>
      </c>
      <c r="J72" t="s">
        <v>54</v>
      </c>
    </row>
    <row r="73" spans="1:11">
      <c r="A73" t="s">
        <v>124</v>
      </c>
      <c r="B73" t="s">
        <v>609</v>
      </c>
      <c r="C73" t="s">
        <v>45</v>
      </c>
      <c r="D73" s="1">
        <v>20</v>
      </c>
      <c r="E73" t="s">
        <v>48</v>
      </c>
      <c r="F73" t="s">
        <v>1010</v>
      </c>
      <c r="G73" s="5">
        <v>44532</v>
      </c>
      <c r="H73" t="s">
        <v>1103</v>
      </c>
      <c r="I73" t="s">
        <v>1104</v>
      </c>
      <c r="J73" t="s">
        <v>55</v>
      </c>
      <c r="K73" t="s">
        <v>996</v>
      </c>
    </row>
    <row r="74" spans="1:11">
      <c r="A74" t="s">
        <v>125</v>
      </c>
      <c r="B74" t="s">
        <v>610</v>
      </c>
      <c r="C74" t="s">
        <v>38</v>
      </c>
      <c r="D74" s="1" t="s">
        <v>48</v>
      </c>
      <c r="E74" s="2">
        <v>5250</v>
      </c>
      <c r="G74" t="s">
        <v>1105</v>
      </c>
      <c r="H74" t="s">
        <v>1106</v>
      </c>
      <c r="I74">
        <v>54004240</v>
      </c>
      <c r="J74" t="s">
        <v>999</v>
      </c>
      <c r="K74" t="s">
        <v>68</v>
      </c>
    </row>
    <row r="75" spans="1:11">
      <c r="A75" t="s">
        <v>126</v>
      </c>
      <c r="B75" t="s">
        <v>611</v>
      </c>
      <c r="C75" t="s">
        <v>938</v>
      </c>
      <c r="D75" s="1">
        <v>32</v>
      </c>
      <c r="E75">
        <v>6000</v>
      </c>
      <c r="F75">
        <v>250</v>
      </c>
      <c r="G75" s="5">
        <v>45376</v>
      </c>
      <c r="H75" t="s">
        <v>1107</v>
      </c>
      <c r="I75" t="s">
        <v>48</v>
      </c>
      <c r="J75" t="s">
        <v>57</v>
      </c>
      <c r="K75" t="s">
        <v>68</v>
      </c>
    </row>
    <row r="76" spans="1:11">
      <c r="A76" t="s">
        <v>127</v>
      </c>
      <c r="B76" t="s">
        <v>612</v>
      </c>
      <c r="C76" t="s">
        <v>933</v>
      </c>
      <c r="D76" s="1">
        <v>44</v>
      </c>
      <c r="E76">
        <v>7200</v>
      </c>
      <c r="F76" t="s">
        <v>1014</v>
      </c>
      <c r="G76" s="5">
        <v>44237</v>
      </c>
      <c r="H76" t="s">
        <v>1108</v>
      </c>
      <c r="I76" t="s">
        <v>1109</v>
      </c>
      <c r="J76" t="s">
        <v>1017</v>
      </c>
      <c r="K76" t="s">
        <v>967</v>
      </c>
    </row>
    <row r="77" spans="1:11">
      <c r="A77" t="s">
        <v>128</v>
      </c>
      <c r="B77" t="s">
        <v>613</v>
      </c>
      <c r="C77" t="s">
        <v>37</v>
      </c>
      <c r="D77" s="1">
        <v>28</v>
      </c>
      <c r="E77" s="2">
        <v>10000</v>
      </c>
      <c r="F77">
        <v>-200</v>
      </c>
      <c r="G77" s="5">
        <v>45601</v>
      </c>
      <c r="H77" t="s">
        <v>1110</v>
      </c>
      <c r="I77" t="s">
        <v>48</v>
      </c>
      <c r="J77" t="s">
        <v>48</v>
      </c>
      <c r="K77" t="s">
        <v>996</v>
      </c>
    </row>
    <row r="78" spans="1:11">
      <c r="A78" t="s">
        <v>129</v>
      </c>
      <c r="B78" t="s">
        <v>614</v>
      </c>
      <c r="C78" t="s">
        <v>927</v>
      </c>
      <c r="D78" s="1">
        <v>-1</v>
      </c>
      <c r="E78" t="s">
        <v>50</v>
      </c>
      <c r="F78" t="s">
        <v>50</v>
      </c>
      <c r="H78" t="s">
        <v>1111</v>
      </c>
      <c r="I78">
        <f>974-7015-9325</f>
        <v>-15366</v>
      </c>
      <c r="J78" t="s">
        <v>48</v>
      </c>
      <c r="K78" t="s">
        <v>66</v>
      </c>
    </row>
    <row r="79" spans="1:11">
      <c r="A79" t="s">
        <v>130</v>
      </c>
      <c r="B79" t="s">
        <v>615</v>
      </c>
      <c r="C79" t="s">
        <v>43</v>
      </c>
      <c r="D79" s="1">
        <v>39</v>
      </c>
      <c r="E79">
        <v>6500</v>
      </c>
      <c r="F79" t="s">
        <v>1014</v>
      </c>
      <c r="G79" s="5">
        <v>45328</v>
      </c>
      <c r="H79" t="s">
        <v>1112</v>
      </c>
      <c r="I79" t="s">
        <v>1113</v>
      </c>
      <c r="J79" t="s">
        <v>58</v>
      </c>
      <c r="K79" t="s">
        <v>48</v>
      </c>
    </row>
    <row r="80" spans="1:11">
      <c r="A80" t="s">
        <v>131</v>
      </c>
      <c r="B80" t="s">
        <v>616</v>
      </c>
      <c r="C80" t="s">
        <v>38</v>
      </c>
      <c r="D80" s="1" t="s">
        <v>50</v>
      </c>
      <c r="E80" s="4">
        <v>4500</v>
      </c>
      <c r="F80">
        <v>300</v>
      </c>
      <c r="G80" s="5">
        <v>45481</v>
      </c>
      <c r="H80" t="s">
        <v>1114</v>
      </c>
      <c r="I80">
        <f>974-6366-4372</f>
        <v>-9764</v>
      </c>
      <c r="J80" t="s">
        <v>57</v>
      </c>
      <c r="K80" t="s">
        <v>50</v>
      </c>
    </row>
    <row r="81" spans="1:11">
      <c r="A81" t="s">
        <v>132</v>
      </c>
      <c r="B81" t="s">
        <v>617</v>
      </c>
      <c r="C81" t="s">
        <v>928</v>
      </c>
      <c r="D81" s="1">
        <v>23</v>
      </c>
      <c r="E81" t="s">
        <v>48</v>
      </c>
      <c r="F81" s="2">
        <v>750</v>
      </c>
      <c r="G81" s="5">
        <v>44748</v>
      </c>
      <c r="H81" t="s">
        <v>1115</v>
      </c>
      <c r="I81">
        <v>40965486</v>
      </c>
      <c r="J81" t="s">
        <v>1017</v>
      </c>
      <c r="K81" t="s">
        <v>996</v>
      </c>
    </row>
    <row r="82" spans="1:11">
      <c r="A82" t="s">
        <v>133</v>
      </c>
      <c r="B82" t="s">
        <v>618</v>
      </c>
      <c r="C82" t="s">
        <v>933</v>
      </c>
      <c r="D82" s="1">
        <v>36</v>
      </c>
      <c r="E82" s="2">
        <v>7800</v>
      </c>
      <c r="F82">
        <v>1250</v>
      </c>
      <c r="G82" s="5">
        <v>45575</v>
      </c>
      <c r="H82" t="s">
        <v>1116</v>
      </c>
      <c r="I82" t="s">
        <v>48</v>
      </c>
      <c r="J82" t="s">
        <v>59</v>
      </c>
      <c r="K82" t="s">
        <v>68</v>
      </c>
    </row>
    <row r="83" spans="1:11">
      <c r="A83" t="s">
        <v>134</v>
      </c>
      <c r="B83" t="s">
        <v>619</v>
      </c>
      <c r="C83" t="s">
        <v>35</v>
      </c>
      <c r="D83" s="1">
        <v>45</v>
      </c>
      <c r="E83" s="4">
        <v>5500</v>
      </c>
      <c r="F83" t="s">
        <v>970</v>
      </c>
      <c r="G83" s="5">
        <v>44584</v>
      </c>
      <c r="H83" t="s">
        <v>1117</v>
      </c>
      <c r="K83" t="s">
        <v>64</v>
      </c>
    </row>
    <row r="84" spans="1:11">
      <c r="A84" t="s">
        <v>135</v>
      </c>
      <c r="B84" t="s">
        <v>620</v>
      </c>
      <c r="C84" t="s">
        <v>39</v>
      </c>
      <c r="D84" s="1">
        <v>19</v>
      </c>
      <c r="E84">
        <v>-1500</v>
      </c>
      <c r="F84" s="2">
        <v>1000</v>
      </c>
      <c r="G84" s="5">
        <v>44353</v>
      </c>
      <c r="H84" t="s">
        <v>1118</v>
      </c>
      <c r="I84" t="s">
        <v>1119</v>
      </c>
      <c r="J84" t="s">
        <v>999</v>
      </c>
      <c r="K84" t="s">
        <v>61</v>
      </c>
    </row>
    <row r="85" spans="1:11">
      <c r="A85" t="s">
        <v>136</v>
      </c>
      <c r="B85" t="s">
        <v>621</v>
      </c>
      <c r="C85" t="s">
        <v>45</v>
      </c>
      <c r="D85" s="1" t="s">
        <v>48</v>
      </c>
      <c r="E85">
        <v>9000</v>
      </c>
      <c r="F85">
        <v>1250</v>
      </c>
      <c r="G85" s="5">
        <v>45208</v>
      </c>
      <c r="H85" t="s">
        <v>1120</v>
      </c>
      <c r="I85" t="s">
        <v>1121</v>
      </c>
      <c r="J85" t="s">
        <v>54</v>
      </c>
      <c r="K85" t="s">
        <v>967</v>
      </c>
    </row>
    <row r="86" spans="1:11">
      <c r="A86" t="s">
        <v>137</v>
      </c>
      <c r="B86" t="s">
        <v>622</v>
      </c>
      <c r="C86" t="s">
        <v>925</v>
      </c>
      <c r="D86" s="1">
        <v>52</v>
      </c>
      <c r="E86" t="s">
        <v>50</v>
      </c>
      <c r="F86" s="2">
        <v>750</v>
      </c>
      <c r="G86" s="5">
        <v>44073</v>
      </c>
      <c r="H86" t="s">
        <v>1122</v>
      </c>
      <c r="I86">
        <f>974-5655-8022</f>
        <v>-12703</v>
      </c>
      <c r="J86" t="s">
        <v>50</v>
      </c>
      <c r="K86" t="s">
        <v>61</v>
      </c>
    </row>
    <row r="87" spans="1:11">
      <c r="A87" t="s">
        <v>138</v>
      </c>
      <c r="B87" t="s">
        <v>623</v>
      </c>
      <c r="C87" t="s">
        <v>42</v>
      </c>
      <c r="D87" s="1">
        <v>33</v>
      </c>
      <c r="E87" s="2">
        <v>6200</v>
      </c>
      <c r="F87">
        <v>1000</v>
      </c>
      <c r="G87" s="5">
        <v>45401</v>
      </c>
      <c r="H87" t="s">
        <v>1123</v>
      </c>
      <c r="I87" t="s">
        <v>50</v>
      </c>
      <c r="J87" t="s">
        <v>59</v>
      </c>
      <c r="K87" t="s">
        <v>68</v>
      </c>
    </row>
    <row r="88" spans="1:11">
      <c r="A88" t="s">
        <v>139</v>
      </c>
      <c r="B88" t="s">
        <v>624</v>
      </c>
      <c r="C88" t="s">
        <v>35</v>
      </c>
      <c r="D88" s="1">
        <v>160</v>
      </c>
      <c r="E88">
        <v>7500</v>
      </c>
      <c r="F88" t="s">
        <v>1055</v>
      </c>
      <c r="G88" s="5">
        <v>44295</v>
      </c>
      <c r="H88" t="s">
        <v>1124</v>
      </c>
      <c r="I88">
        <v>39045010</v>
      </c>
      <c r="J88" t="s">
        <v>60</v>
      </c>
      <c r="K88" t="s">
        <v>996</v>
      </c>
    </row>
    <row r="89" spans="1:11">
      <c r="A89" t="s">
        <v>140</v>
      </c>
      <c r="B89" t="s">
        <v>625</v>
      </c>
      <c r="C89" t="s">
        <v>928</v>
      </c>
      <c r="D89" s="1">
        <v>27</v>
      </c>
      <c r="E89" t="s">
        <v>48</v>
      </c>
      <c r="F89">
        <v>300</v>
      </c>
      <c r="G89" t="s">
        <v>1125</v>
      </c>
      <c r="H89" t="s">
        <v>1126</v>
      </c>
      <c r="I89" t="s">
        <v>1018</v>
      </c>
      <c r="J89" t="s">
        <v>59</v>
      </c>
      <c r="K89" t="s">
        <v>967</v>
      </c>
    </row>
    <row r="90" spans="1:11">
      <c r="A90" t="s">
        <v>141</v>
      </c>
      <c r="B90" t="s">
        <v>626</v>
      </c>
      <c r="C90" t="s">
        <v>38</v>
      </c>
      <c r="D90" s="1">
        <v>30</v>
      </c>
      <c r="E90" s="2">
        <v>8000</v>
      </c>
      <c r="F90">
        <v>-200</v>
      </c>
      <c r="G90" s="5">
        <v>43600</v>
      </c>
      <c r="H90" t="s">
        <v>1127</v>
      </c>
      <c r="I90">
        <v>72753012</v>
      </c>
      <c r="J90" t="s">
        <v>60</v>
      </c>
      <c r="K90" t="s">
        <v>63</v>
      </c>
    </row>
    <row r="91" spans="1:11">
      <c r="A91" t="s">
        <v>142</v>
      </c>
      <c r="B91" t="s">
        <v>33</v>
      </c>
      <c r="C91" t="s">
        <v>43</v>
      </c>
      <c r="D91" s="1">
        <v>42</v>
      </c>
      <c r="E91">
        <v>5200</v>
      </c>
      <c r="F91" t="s">
        <v>48</v>
      </c>
      <c r="G91" t="s">
        <v>1003</v>
      </c>
      <c r="H91" t="s">
        <v>1128</v>
      </c>
      <c r="I91" t="s">
        <v>1129</v>
      </c>
      <c r="J91" t="s">
        <v>961</v>
      </c>
      <c r="K91" t="s">
        <v>64</v>
      </c>
    </row>
    <row r="92" spans="1:11">
      <c r="A92" t="s">
        <v>143</v>
      </c>
      <c r="B92" t="s">
        <v>627</v>
      </c>
      <c r="C92" t="s">
        <v>41</v>
      </c>
      <c r="D92" s="1" t="s">
        <v>50</v>
      </c>
      <c r="E92">
        <v>6500</v>
      </c>
      <c r="F92" t="s">
        <v>48</v>
      </c>
      <c r="G92" t="s">
        <v>1130</v>
      </c>
      <c r="H92" t="s">
        <v>1131</v>
      </c>
      <c r="I92" t="s">
        <v>1132</v>
      </c>
      <c r="J92" t="s">
        <v>999</v>
      </c>
      <c r="K92" t="s">
        <v>48</v>
      </c>
    </row>
    <row r="93" spans="1:11">
      <c r="A93" t="s">
        <v>144</v>
      </c>
      <c r="B93" t="s">
        <v>628</v>
      </c>
      <c r="C93" t="s">
        <v>47</v>
      </c>
      <c r="D93" s="1">
        <v>24</v>
      </c>
      <c r="E93" s="2">
        <v>9500</v>
      </c>
      <c r="F93">
        <v>500</v>
      </c>
      <c r="G93" t="s">
        <v>1133</v>
      </c>
      <c r="H93" t="s">
        <v>1134</v>
      </c>
      <c r="I93" t="s">
        <v>1135</v>
      </c>
      <c r="J93" t="s">
        <v>999</v>
      </c>
      <c r="K93" t="s">
        <v>62</v>
      </c>
    </row>
    <row r="94" spans="1:11">
      <c r="A94" t="s">
        <v>145</v>
      </c>
      <c r="B94" t="s">
        <v>629</v>
      </c>
      <c r="C94" t="s">
        <v>939</v>
      </c>
      <c r="D94" s="1">
        <v>38</v>
      </c>
      <c r="E94" t="s">
        <v>50</v>
      </c>
      <c r="F94">
        <v>1250</v>
      </c>
      <c r="G94" s="5">
        <v>44414</v>
      </c>
      <c r="H94" t="s">
        <v>1136</v>
      </c>
      <c r="I94">
        <v>76223632</v>
      </c>
      <c r="J94" t="s">
        <v>50</v>
      </c>
      <c r="K94" t="s">
        <v>967</v>
      </c>
    </row>
    <row r="95" spans="1:11">
      <c r="A95" t="s">
        <v>146</v>
      </c>
      <c r="B95" t="s">
        <v>630</v>
      </c>
      <c r="C95" t="s">
        <v>37</v>
      </c>
      <c r="D95" s="1" t="s">
        <v>48</v>
      </c>
      <c r="E95">
        <v>5800</v>
      </c>
      <c r="F95" s="2">
        <v>500</v>
      </c>
      <c r="G95" t="s">
        <v>1137</v>
      </c>
      <c r="H95" t="s">
        <v>1053</v>
      </c>
      <c r="I95" t="s">
        <v>1138</v>
      </c>
      <c r="J95" t="s">
        <v>977</v>
      </c>
      <c r="K95" t="s">
        <v>64</v>
      </c>
    </row>
    <row r="96" spans="1:11">
      <c r="A96" t="s">
        <v>147</v>
      </c>
      <c r="B96" t="s">
        <v>631</v>
      </c>
      <c r="C96" t="s">
        <v>928</v>
      </c>
      <c r="D96" s="1">
        <v>35</v>
      </c>
      <c r="E96" s="4">
        <v>7200</v>
      </c>
      <c r="F96" s="2">
        <v>1000</v>
      </c>
      <c r="G96" s="5">
        <v>44113</v>
      </c>
      <c r="H96" t="s">
        <v>1139</v>
      </c>
      <c r="I96" t="s">
        <v>1140</v>
      </c>
      <c r="J96" t="s">
        <v>961</v>
      </c>
      <c r="K96" t="s">
        <v>48</v>
      </c>
    </row>
    <row r="97" spans="1:11">
      <c r="A97" t="s">
        <v>148</v>
      </c>
      <c r="B97" t="s">
        <v>632</v>
      </c>
      <c r="C97" t="s">
        <v>941</v>
      </c>
      <c r="D97" s="1">
        <v>29</v>
      </c>
      <c r="E97" t="s">
        <v>48</v>
      </c>
      <c r="F97" s="2">
        <v>1000</v>
      </c>
      <c r="G97" s="5">
        <v>43761</v>
      </c>
      <c r="H97" t="s">
        <v>1141</v>
      </c>
      <c r="I97" t="s">
        <v>1142</v>
      </c>
      <c r="K97" t="s">
        <v>63</v>
      </c>
    </row>
    <row r="98" spans="1:11">
      <c r="A98" t="s">
        <v>149</v>
      </c>
      <c r="B98" t="s">
        <v>633</v>
      </c>
      <c r="C98" t="s">
        <v>38</v>
      </c>
      <c r="D98" s="1">
        <v>47</v>
      </c>
      <c r="E98" s="2">
        <v>5000</v>
      </c>
      <c r="F98">
        <v>250</v>
      </c>
      <c r="G98" s="5">
        <v>43466</v>
      </c>
      <c r="H98" t="s">
        <v>1143</v>
      </c>
      <c r="I98">
        <v>71427428</v>
      </c>
      <c r="J98" t="s">
        <v>58</v>
      </c>
      <c r="K98" t="s">
        <v>48</v>
      </c>
    </row>
    <row r="99" spans="1:11">
      <c r="A99" t="s">
        <v>150</v>
      </c>
      <c r="B99" t="s">
        <v>634</v>
      </c>
      <c r="C99" t="s">
        <v>933</v>
      </c>
      <c r="D99" s="1">
        <v>21</v>
      </c>
      <c r="E99">
        <v>8200</v>
      </c>
      <c r="F99">
        <v>250</v>
      </c>
      <c r="G99" t="s">
        <v>1144</v>
      </c>
      <c r="H99" t="s">
        <v>1145</v>
      </c>
      <c r="I99" t="s">
        <v>1146</v>
      </c>
      <c r="J99" t="s">
        <v>999</v>
      </c>
      <c r="K99" t="s">
        <v>65</v>
      </c>
    </row>
    <row r="100" spans="1:11">
      <c r="A100" t="s">
        <v>151</v>
      </c>
      <c r="B100" t="s">
        <v>635</v>
      </c>
      <c r="C100" t="s">
        <v>35</v>
      </c>
      <c r="D100" s="1">
        <v>-8</v>
      </c>
      <c r="E100">
        <v>-500</v>
      </c>
      <c r="F100">
        <v>750</v>
      </c>
      <c r="G100" t="s">
        <v>1137</v>
      </c>
      <c r="H100" t="s">
        <v>1147</v>
      </c>
      <c r="I100">
        <v>63713553</v>
      </c>
      <c r="J100" t="s">
        <v>60</v>
      </c>
      <c r="K100" t="s">
        <v>62</v>
      </c>
    </row>
    <row r="101" spans="1:11">
      <c r="A101" t="s">
        <v>152</v>
      </c>
      <c r="B101" t="s">
        <v>636</v>
      </c>
      <c r="C101" t="s">
        <v>39</v>
      </c>
      <c r="D101" s="1">
        <v>31</v>
      </c>
      <c r="E101" s="2">
        <v>6500</v>
      </c>
      <c r="F101">
        <v>500</v>
      </c>
      <c r="G101" t="s">
        <v>1148</v>
      </c>
      <c r="H101" t="s">
        <v>1149</v>
      </c>
      <c r="I101" t="s">
        <v>1150</v>
      </c>
      <c r="J101" t="s">
        <v>50</v>
      </c>
      <c r="K101" t="s">
        <v>68</v>
      </c>
    </row>
    <row r="102" spans="1:11">
      <c r="A102" t="s">
        <v>153</v>
      </c>
      <c r="B102" t="s">
        <v>637</v>
      </c>
      <c r="C102" t="s">
        <v>928</v>
      </c>
      <c r="D102" s="1">
        <v>40</v>
      </c>
      <c r="E102" t="s">
        <v>50</v>
      </c>
      <c r="F102" s="2">
        <v>500</v>
      </c>
      <c r="G102" s="5">
        <v>45471</v>
      </c>
      <c r="H102" t="s">
        <v>1151</v>
      </c>
      <c r="I102">
        <f>974-7583-3609</f>
        <v>-10218</v>
      </c>
      <c r="J102" t="s">
        <v>48</v>
      </c>
      <c r="K102" t="s">
        <v>66</v>
      </c>
    </row>
    <row r="103" spans="1:11">
      <c r="A103" t="s">
        <v>154</v>
      </c>
      <c r="B103" t="s">
        <v>638</v>
      </c>
      <c r="C103" t="s">
        <v>925</v>
      </c>
      <c r="D103" s="1" t="s">
        <v>48</v>
      </c>
      <c r="E103">
        <v>7200</v>
      </c>
      <c r="F103">
        <v>1000</v>
      </c>
      <c r="G103" t="s">
        <v>1152</v>
      </c>
      <c r="H103" t="s">
        <v>1153</v>
      </c>
      <c r="I103" t="s">
        <v>50</v>
      </c>
      <c r="K103" t="s">
        <v>68</v>
      </c>
    </row>
    <row r="104" spans="1:11">
      <c r="A104" t="s">
        <v>155</v>
      </c>
      <c r="B104" t="s">
        <v>639</v>
      </c>
      <c r="C104" t="s">
        <v>45</v>
      </c>
      <c r="D104" s="1" t="s">
        <v>948</v>
      </c>
      <c r="E104" s="2">
        <v>4750</v>
      </c>
      <c r="F104">
        <v>250</v>
      </c>
      <c r="G104" t="s">
        <v>1154</v>
      </c>
      <c r="H104" t="s">
        <v>1155</v>
      </c>
      <c r="I104" t="s">
        <v>1156</v>
      </c>
      <c r="J104" t="s">
        <v>60</v>
      </c>
      <c r="K104" t="s">
        <v>65</v>
      </c>
    </row>
    <row r="105" spans="1:11">
      <c r="A105" t="s">
        <v>156</v>
      </c>
      <c r="B105" t="s">
        <v>640</v>
      </c>
      <c r="C105" t="s">
        <v>35</v>
      </c>
      <c r="D105" s="1">
        <v>34</v>
      </c>
      <c r="E105">
        <v>6000</v>
      </c>
      <c r="F105" t="s">
        <v>1157</v>
      </c>
      <c r="G105" s="5">
        <v>45043</v>
      </c>
      <c r="H105" t="s">
        <v>1158</v>
      </c>
      <c r="I105" t="s">
        <v>1159</v>
      </c>
      <c r="J105" t="s">
        <v>1017</v>
      </c>
      <c r="K105" t="s">
        <v>66</v>
      </c>
    </row>
    <row r="106" spans="1:11">
      <c r="A106" t="s">
        <v>157</v>
      </c>
      <c r="B106" t="s">
        <v>641</v>
      </c>
      <c r="C106" t="s">
        <v>46</v>
      </c>
      <c r="D106" s="1">
        <v>43</v>
      </c>
      <c r="E106" t="s">
        <v>48</v>
      </c>
      <c r="F106" t="s">
        <v>1157</v>
      </c>
      <c r="G106" t="s">
        <v>1160</v>
      </c>
      <c r="H106" t="s">
        <v>1161</v>
      </c>
      <c r="I106" t="s">
        <v>1162</v>
      </c>
      <c r="K106" t="s">
        <v>63</v>
      </c>
    </row>
    <row r="107" spans="1:11">
      <c r="A107" t="s">
        <v>158</v>
      </c>
      <c r="B107" t="s">
        <v>642</v>
      </c>
      <c r="C107" t="s">
        <v>42</v>
      </c>
      <c r="D107" s="1">
        <v>26</v>
      </c>
      <c r="E107" s="2">
        <v>8900</v>
      </c>
      <c r="F107">
        <v>500</v>
      </c>
      <c r="G107" t="s">
        <v>1163</v>
      </c>
      <c r="H107" t="s">
        <v>1164</v>
      </c>
      <c r="I107">
        <f>974-4077-6878</f>
        <v>-9981</v>
      </c>
      <c r="J107" t="s">
        <v>961</v>
      </c>
      <c r="K107" t="s">
        <v>66</v>
      </c>
    </row>
    <row r="108" spans="1:11">
      <c r="A108" t="s">
        <v>159</v>
      </c>
      <c r="B108" t="s">
        <v>643</v>
      </c>
      <c r="C108" t="s">
        <v>928</v>
      </c>
      <c r="D108" s="1">
        <v>18</v>
      </c>
      <c r="E108" s="4">
        <v>5500</v>
      </c>
      <c r="F108" s="2">
        <v>500</v>
      </c>
      <c r="H108" t="s">
        <v>1165</v>
      </c>
      <c r="I108">
        <f>974-7672-8067</f>
        <v>-14765</v>
      </c>
      <c r="J108" t="s">
        <v>59</v>
      </c>
      <c r="K108" t="s">
        <v>61</v>
      </c>
    </row>
    <row r="109" spans="1:11">
      <c r="A109" t="s">
        <v>160</v>
      </c>
      <c r="B109" t="s">
        <v>644</v>
      </c>
      <c r="C109" t="s">
        <v>43</v>
      </c>
      <c r="D109" s="1" t="s">
        <v>50</v>
      </c>
      <c r="E109">
        <v>7000</v>
      </c>
      <c r="F109" t="s">
        <v>1014</v>
      </c>
      <c r="G109" s="5">
        <v>45509</v>
      </c>
      <c r="H109" t="s">
        <v>1166</v>
      </c>
      <c r="I109" t="s">
        <v>1167</v>
      </c>
      <c r="J109" t="s">
        <v>60</v>
      </c>
      <c r="K109" t="s">
        <v>67</v>
      </c>
    </row>
    <row r="110" spans="1:11">
      <c r="A110" t="s">
        <v>161</v>
      </c>
      <c r="B110" t="s">
        <v>645</v>
      </c>
      <c r="C110" t="s">
        <v>37</v>
      </c>
      <c r="D110" s="1">
        <v>56</v>
      </c>
      <c r="E110" t="s">
        <v>50</v>
      </c>
      <c r="F110">
        <v>1000</v>
      </c>
      <c r="G110" t="s">
        <v>1168</v>
      </c>
      <c r="H110" t="s">
        <v>1169</v>
      </c>
      <c r="I110" t="s">
        <v>1170</v>
      </c>
      <c r="J110" t="s">
        <v>60</v>
      </c>
      <c r="K110" t="s">
        <v>68</v>
      </c>
    </row>
    <row r="111" spans="1:11">
      <c r="A111" t="s">
        <v>162</v>
      </c>
      <c r="B111" t="s">
        <v>646</v>
      </c>
      <c r="C111" t="s">
        <v>47</v>
      </c>
      <c r="D111" s="1">
        <v>32</v>
      </c>
      <c r="E111" s="2">
        <v>6250</v>
      </c>
      <c r="F111" t="s">
        <v>970</v>
      </c>
      <c r="G111" t="s">
        <v>1171</v>
      </c>
      <c r="H111" t="s">
        <v>1172</v>
      </c>
      <c r="I111" t="s">
        <v>1173</v>
      </c>
      <c r="J111" t="s">
        <v>57</v>
      </c>
      <c r="K111" t="s">
        <v>66</v>
      </c>
    </row>
    <row r="112" spans="1:11">
      <c r="A112" t="s">
        <v>163</v>
      </c>
      <c r="B112" t="s">
        <v>33</v>
      </c>
      <c r="C112" t="s">
        <v>933</v>
      </c>
      <c r="D112" s="1">
        <v>145</v>
      </c>
      <c r="E112">
        <v>4800</v>
      </c>
      <c r="F112">
        <v>250</v>
      </c>
      <c r="G112" s="5">
        <v>44633</v>
      </c>
      <c r="H112" t="s">
        <v>1174</v>
      </c>
      <c r="I112">
        <f>974-3760-6321</f>
        <v>-9107</v>
      </c>
      <c r="J112" t="s">
        <v>58</v>
      </c>
      <c r="K112" t="s">
        <v>65</v>
      </c>
    </row>
    <row r="113" spans="1:11">
      <c r="A113" t="s">
        <v>164</v>
      </c>
      <c r="B113" t="s">
        <v>647</v>
      </c>
      <c r="C113" t="s">
        <v>925</v>
      </c>
      <c r="D113" s="1">
        <v>25</v>
      </c>
      <c r="E113" s="4">
        <v>9000</v>
      </c>
      <c r="F113">
        <v>0</v>
      </c>
      <c r="G113" s="5">
        <v>44060</v>
      </c>
      <c r="H113" t="s">
        <v>1175</v>
      </c>
      <c r="I113" t="s">
        <v>1176</v>
      </c>
      <c r="J113" t="s">
        <v>977</v>
      </c>
      <c r="K113" t="s">
        <v>68</v>
      </c>
    </row>
    <row r="114" spans="1:11">
      <c r="A114" t="s">
        <v>165</v>
      </c>
      <c r="B114" t="s">
        <v>648</v>
      </c>
      <c r="C114" t="s">
        <v>928</v>
      </c>
      <c r="D114" s="1">
        <v>39</v>
      </c>
      <c r="E114" t="s">
        <v>48</v>
      </c>
      <c r="F114" t="s">
        <v>962</v>
      </c>
      <c r="G114" t="s">
        <v>50</v>
      </c>
      <c r="H114" t="s">
        <v>1177</v>
      </c>
      <c r="I114">
        <v>55536448</v>
      </c>
      <c r="J114" t="s">
        <v>60</v>
      </c>
      <c r="K114" t="s">
        <v>62</v>
      </c>
    </row>
    <row r="115" spans="1:11">
      <c r="A115" t="s">
        <v>166</v>
      </c>
      <c r="B115" t="s">
        <v>649</v>
      </c>
      <c r="C115" t="s">
        <v>38</v>
      </c>
      <c r="D115" s="1" t="s">
        <v>48</v>
      </c>
      <c r="E115" s="2">
        <v>7500</v>
      </c>
      <c r="F115">
        <v>1250</v>
      </c>
      <c r="G115" s="5">
        <v>44646</v>
      </c>
      <c r="H115" t="s">
        <v>1178</v>
      </c>
      <c r="I115" t="s">
        <v>1179</v>
      </c>
      <c r="J115" t="s">
        <v>48</v>
      </c>
      <c r="K115" t="s">
        <v>63</v>
      </c>
    </row>
    <row r="116" spans="1:11">
      <c r="A116" t="s">
        <v>167</v>
      </c>
      <c r="B116" t="s">
        <v>650</v>
      </c>
      <c r="C116" t="s">
        <v>937</v>
      </c>
      <c r="D116" s="1">
        <v>30</v>
      </c>
      <c r="E116">
        <v>6500</v>
      </c>
      <c r="F116" t="s">
        <v>1157</v>
      </c>
      <c r="G116" s="5">
        <v>43971</v>
      </c>
      <c r="H116" t="s">
        <v>1180</v>
      </c>
      <c r="I116" t="s">
        <v>1181</v>
      </c>
      <c r="J116" t="s">
        <v>60</v>
      </c>
      <c r="K116" t="s">
        <v>66</v>
      </c>
    </row>
    <row r="117" spans="1:11">
      <c r="A117" t="s">
        <v>168</v>
      </c>
      <c r="B117" t="s">
        <v>651</v>
      </c>
      <c r="C117" t="s">
        <v>45</v>
      </c>
      <c r="D117" s="1">
        <v>48</v>
      </c>
      <c r="E117">
        <v>-2000</v>
      </c>
      <c r="F117">
        <v>-200</v>
      </c>
      <c r="G117" t="s">
        <v>1182</v>
      </c>
      <c r="H117" t="s">
        <v>1183</v>
      </c>
      <c r="I117" t="s">
        <v>1184</v>
      </c>
      <c r="J117" t="s">
        <v>58</v>
      </c>
      <c r="K117" t="s">
        <v>61</v>
      </c>
    </row>
    <row r="118" spans="1:11">
      <c r="A118" t="s">
        <v>169</v>
      </c>
      <c r="B118" t="s">
        <v>652</v>
      </c>
      <c r="C118" t="s">
        <v>42</v>
      </c>
      <c r="D118" s="1">
        <v>22</v>
      </c>
      <c r="E118" s="2">
        <v>5750</v>
      </c>
      <c r="F118">
        <v>500</v>
      </c>
      <c r="G118" t="s">
        <v>1185</v>
      </c>
      <c r="H118" t="s">
        <v>1186</v>
      </c>
      <c r="I118" t="s">
        <v>1187</v>
      </c>
      <c r="J118" t="s">
        <v>59</v>
      </c>
      <c r="K118" t="s">
        <v>66</v>
      </c>
    </row>
    <row r="119" spans="1:11">
      <c r="A119" t="s">
        <v>170</v>
      </c>
      <c r="B119" t="s">
        <v>653</v>
      </c>
      <c r="C119" t="s">
        <v>39</v>
      </c>
      <c r="D119" s="1" t="s">
        <v>949</v>
      </c>
      <c r="E119" t="s">
        <v>50</v>
      </c>
      <c r="F119">
        <v>1250</v>
      </c>
      <c r="G119" s="5">
        <v>44427</v>
      </c>
      <c r="H119" t="s">
        <v>1188</v>
      </c>
      <c r="I119" t="s">
        <v>1189</v>
      </c>
      <c r="J119" t="s">
        <v>59</v>
      </c>
      <c r="K119" t="s">
        <v>67</v>
      </c>
    </row>
    <row r="120" spans="1:11">
      <c r="A120" t="s">
        <v>171</v>
      </c>
      <c r="B120" t="s">
        <v>654</v>
      </c>
      <c r="C120" t="s">
        <v>43</v>
      </c>
      <c r="D120" s="1">
        <v>37</v>
      </c>
      <c r="E120">
        <v>8000</v>
      </c>
      <c r="F120">
        <v>500</v>
      </c>
      <c r="G120" s="5">
        <v>45601</v>
      </c>
      <c r="H120" t="s">
        <v>1190</v>
      </c>
      <c r="I120" t="s">
        <v>1191</v>
      </c>
      <c r="J120" t="s">
        <v>54</v>
      </c>
      <c r="K120" t="s">
        <v>61</v>
      </c>
    </row>
    <row r="121" spans="1:11">
      <c r="A121" t="s">
        <v>172</v>
      </c>
      <c r="B121" t="s">
        <v>655</v>
      </c>
      <c r="C121" t="s">
        <v>928</v>
      </c>
      <c r="D121" s="1">
        <v>28</v>
      </c>
      <c r="E121" s="2">
        <v>6800</v>
      </c>
      <c r="F121" t="s">
        <v>1055</v>
      </c>
      <c r="G121" s="5">
        <v>45635</v>
      </c>
      <c r="H121" t="s">
        <v>1192</v>
      </c>
      <c r="I121">
        <f>974-5371-2208</f>
        <v>-6605</v>
      </c>
      <c r="J121" t="s">
        <v>50</v>
      </c>
      <c r="K121" t="s">
        <v>63</v>
      </c>
    </row>
    <row r="122" spans="1:11">
      <c r="A122" t="s">
        <v>173</v>
      </c>
      <c r="B122" t="s">
        <v>656</v>
      </c>
      <c r="C122" t="s">
        <v>35</v>
      </c>
      <c r="D122" s="1">
        <v>41</v>
      </c>
      <c r="E122">
        <v>5200</v>
      </c>
      <c r="F122" t="s">
        <v>1003</v>
      </c>
      <c r="G122" t="s">
        <v>1193</v>
      </c>
      <c r="H122" t="s">
        <v>1194</v>
      </c>
      <c r="I122" t="s">
        <v>1195</v>
      </c>
      <c r="J122" t="s">
        <v>1017</v>
      </c>
      <c r="K122" t="s">
        <v>63</v>
      </c>
    </row>
    <row r="123" spans="1:11">
      <c r="A123" t="s">
        <v>174</v>
      </c>
      <c r="B123" t="s">
        <v>657</v>
      </c>
      <c r="C123" t="s">
        <v>925</v>
      </c>
      <c r="D123" s="1" t="s">
        <v>50</v>
      </c>
      <c r="E123" t="s">
        <v>48</v>
      </c>
      <c r="F123" t="s">
        <v>1003</v>
      </c>
      <c r="G123" t="s">
        <v>1196</v>
      </c>
      <c r="H123" t="s">
        <v>1197</v>
      </c>
      <c r="I123">
        <f>974-4609-2392</f>
        <v>-6027</v>
      </c>
      <c r="J123" t="s">
        <v>961</v>
      </c>
      <c r="K123" t="s">
        <v>68</v>
      </c>
    </row>
    <row r="124" spans="1:11">
      <c r="A124" t="s">
        <v>175</v>
      </c>
      <c r="B124" t="s">
        <v>658</v>
      </c>
      <c r="C124" t="s">
        <v>933</v>
      </c>
      <c r="D124" s="1">
        <v>19</v>
      </c>
      <c r="E124" s="2">
        <v>9250</v>
      </c>
      <c r="F124" t="s">
        <v>1014</v>
      </c>
      <c r="G124" t="s">
        <v>1198</v>
      </c>
      <c r="H124" t="s">
        <v>1199</v>
      </c>
      <c r="I124">
        <v>33403055</v>
      </c>
      <c r="J124" t="s">
        <v>57</v>
      </c>
      <c r="K124" t="s">
        <v>62</v>
      </c>
    </row>
    <row r="125" spans="1:11">
      <c r="A125" t="s">
        <v>176</v>
      </c>
      <c r="B125" t="s">
        <v>659</v>
      </c>
      <c r="C125" t="s">
        <v>38</v>
      </c>
      <c r="D125" s="1">
        <v>35</v>
      </c>
      <c r="E125">
        <v>7000</v>
      </c>
      <c r="F125">
        <v>750</v>
      </c>
      <c r="G125" s="5">
        <v>44502</v>
      </c>
      <c r="H125" t="s">
        <v>1200</v>
      </c>
      <c r="I125">
        <v>52889387</v>
      </c>
      <c r="J125" t="s">
        <v>59</v>
      </c>
      <c r="K125" t="s">
        <v>967</v>
      </c>
    </row>
    <row r="126" spans="1:11">
      <c r="A126" t="s">
        <v>177</v>
      </c>
      <c r="B126" t="s">
        <v>660</v>
      </c>
      <c r="C126" t="s">
        <v>45</v>
      </c>
      <c r="D126" s="1" t="s">
        <v>48</v>
      </c>
      <c r="E126">
        <v>4500</v>
      </c>
      <c r="F126">
        <v>750</v>
      </c>
      <c r="G126" s="5">
        <v>44508</v>
      </c>
      <c r="H126" t="s">
        <v>1201</v>
      </c>
      <c r="I126">
        <f>974-6803-1824</f>
        <v>-7653</v>
      </c>
      <c r="K126" t="s">
        <v>967</v>
      </c>
    </row>
    <row r="127" spans="1:11">
      <c r="A127" t="s">
        <v>178</v>
      </c>
      <c r="B127" t="s">
        <v>661</v>
      </c>
      <c r="C127" t="s">
        <v>37</v>
      </c>
      <c r="D127" s="1">
        <v>33</v>
      </c>
      <c r="E127" t="s">
        <v>50</v>
      </c>
      <c r="F127">
        <v>750</v>
      </c>
      <c r="G127" t="s">
        <v>1202</v>
      </c>
      <c r="H127" t="s">
        <v>1079</v>
      </c>
      <c r="I127">
        <f>974-6419-2081</f>
        <v>-7526</v>
      </c>
      <c r="J127" t="s">
        <v>59</v>
      </c>
      <c r="K127" t="s">
        <v>68</v>
      </c>
    </row>
    <row r="128" spans="1:11">
      <c r="A128" t="s">
        <v>179</v>
      </c>
      <c r="B128" t="s">
        <v>662</v>
      </c>
      <c r="C128" t="s">
        <v>938</v>
      </c>
      <c r="D128" s="1">
        <v>-3</v>
      </c>
      <c r="E128" s="2">
        <v>5500</v>
      </c>
      <c r="F128">
        <v>1000</v>
      </c>
      <c r="G128" t="s">
        <v>1203</v>
      </c>
      <c r="H128" t="s">
        <v>1204</v>
      </c>
      <c r="I128">
        <v>55162708</v>
      </c>
      <c r="J128" t="s">
        <v>50</v>
      </c>
      <c r="K128" t="s">
        <v>62</v>
      </c>
    </row>
    <row r="129" spans="1:11">
      <c r="A129" t="s">
        <v>180</v>
      </c>
      <c r="B129" t="s">
        <v>663</v>
      </c>
      <c r="C129" t="s">
        <v>933</v>
      </c>
      <c r="D129" s="1">
        <v>46</v>
      </c>
      <c r="E129">
        <v>7500</v>
      </c>
      <c r="F129" t="s">
        <v>962</v>
      </c>
      <c r="G129" t="s">
        <v>1205</v>
      </c>
      <c r="H129" t="s">
        <v>1059</v>
      </c>
      <c r="I129" t="s">
        <v>1206</v>
      </c>
      <c r="J129" t="s">
        <v>50</v>
      </c>
      <c r="K129" t="s">
        <v>996</v>
      </c>
    </row>
    <row r="130" spans="1:11">
      <c r="A130" t="s">
        <v>181</v>
      </c>
      <c r="B130" t="s">
        <v>33</v>
      </c>
      <c r="C130" t="s">
        <v>47</v>
      </c>
      <c r="D130" s="1">
        <v>24</v>
      </c>
      <c r="E130" s="4">
        <v>6250</v>
      </c>
      <c r="F130" t="s">
        <v>970</v>
      </c>
      <c r="G130" t="s">
        <v>1207</v>
      </c>
      <c r="H130" t="s">
        <v>1208</v>
      </c>
      <c r="I130" t="s">
        <v>1209</v>
      </c>
      <c r="J130" t="s">
        <v>58</v>
      </c>
      <c r="K130" t="s">
        <v>63</v>
      </c>
    </row>
    <row r="131" spans="1:11">
      <c r="A131" t="s">
        <v>182</v>
      </c>
      <c r="B131" t="s">
        <v>664</v>
      </c>
      <c r="C131" t="s">
        <v>43</v>
      </c>
      <c r="D131" s="1">
        <v>31</v>
      </c>
      <c r="E131" t="s">
        <v>48</v>
      </c>
      <c r="G131" s="5">
        <v>44708</v>
      </c>
      <c r="H131" t="s">
        <v>1210</v>
      </c>
      <c r="I131">
        <v>50693119</v>
      </c>
      <c r="J131" t="s">
        <v>961</v>
      </c>
      <c r="K131" t="s">
        <v>996</v>
      </c>
    </row>
    <row r="132" spans="1:11">
      <c r="A132" t="s">
        <v>183</v>
      </c>
      <c r="B132" t="s">
        <v>665</v>
      </c>
      <c r="C132" t="s">
        <v>35</v>
      </c>
      <c r="D132" s="1">
        <v>40</v>
      </c>
      <c r="E132" s="2">
        <v>8000</v>
      </c>
      <c r="F132">
        <v>250</v>
      </c>
      <c r="G132" s="5">
        <v>45611</v>
      </c>
      <c r="H132" t="s">
        <v>1211</v>
      </c>
      <c r="I132">
        <v>97439437309</v>
      </c>
      <c r="J132" t="s">
        <v>48</v>
      </c>
      <c r="K132" t="s">
        <v>48</v>
      </c>
    </row>
    <row r="133" spans="1:11">
      <c r="A133" t="s">
        <v>184</v>
      </c>
      <c r="B133" t="s">
        <v>666</v>
      </c>
      <c r="C133" t="s">
        <v>925</v>
      </c>
      <c r="D133" s="1">
        <v>29</v>
      </c>
      <c r="E133">
        <v>-750</v>
      </c>
      <c r="F133">
        <v>500</v>
      </c>
      <c r="G133" t="s">
        <v>1212</v>
      </c>
      <c r="H133" t="s">
        <v>1213</v>
      </c>
      <c r="I133" t="s">
        <v>1214</v>
      </c>
      <c r="J133" t="s">
        <v>54</v>
      </c>
      <c r="K133" t="s">
        <v>62</v>
      </c>
    </row>
    <row r="134" spans="1:11">
      <c r="A134" t="s">
        <v>185</v>
      </c>
      <c r="B134" t="s">
        <v>667</v>
      </c>
      <c r="C134" t="s">
        <v>38</v>
      </c>
      <c r="D134" s="1" t="s">
        <v>48</v>
      </c>
      <c r="E134" s="2">
        <v>7200</v>
      </c>
      <c r="F134" t="s">
        <v>1010</v>
      </c>
      <c r="G134" s="5">
        <v>44988</v>
      </c>
      <c r="H134" t="s">
        <v>1215</v>
      </c>
      <c r="I134" t="s">
        <v>1216</v>
      </c>
      <c r="J134" t="s">
        <v>56</v>
      </c>
      <c r="K134" t="s">
        <v>66</v>
      </c>
    </row>
    <row r="135" spans="1:11">
      <c r="A135" t="s">
        <v>186</v>
      </c>
      <c r="B135" t="s">
        <v>668</v>
      </c>
      <c r="C135" t="s">
        <v>42</v>
      </c>
      <c r="D135" s="1">
        <v>170</v>
      </c>
      <c r="E135" t="s">
        <v>50</v>
      </c>
      <c r="F135" t="s">
        <v>1014</v>
      </c>
      <c r="G135" t="s">
        <v>1217</v>
      </c>
      <c r="H135" t="s">
        <v>1218</v>
      </c>
      <c r="I135">
        <v>51872293</v>
      </c>
      <c r="J135" t="s">
        <v>999</v>
      </c>
      <c r="K135" t="s">
        <v>967</v>
      </c>
    </row>
    <row r="136" spans="1:11">
      <c r="A136" t="s">
        <v>187</v>
      </c>
      <c r="B136" t="s">
        <v>669</v>
      </c>
      <c r="C136" t="s">
        <v>928</v>
      </c>
      <c r="D136" s="1">
        <v>36</v>
      </c>
      <c r="E136">
        <v>5500</v>
      </c>
      <c r="F136" s="2">
        <v>500</v>
      </c>
      <c r="G136" s="5">
        <v>44052</v>
      </c>
      <c r="H136" t="s">
        <v>1219</v>
      </c>
      <c r="I136" t="s">
        <v>1220</v>
      </c>
      <c r="J136" t="s">
        <v>999</v>
      </c>
      <c r="K136" t="s">
        <v>61</v>
      </c>
    </row>
    <row r="137" spans="1:11">
      <c r="A137" t="s">
        <v>188</v>
      </c>
      <c r="B137" t="s">
        <v>670</v>
      </c>
      <c r="C137" t="s">
        <v>45</v>
      </c>
      <c r="D137" s="1" t="s">
        <v>950</v>
      </c>
      <c r="E137" s="2">
        <v>9000</v>
      </c>
      <c r="F137">
        <v>-200</v>
      </c>
      <c r="G137" t="s">
        <v>1221</v>
      </c>
      <c r="H137" t="s">
        <v>1222</v>
      </c>
      <c r="I137">
        <f>974-3175-6106</f>
        <v>-8307</v>
      </c>
      <c r="J137" t="s">
        <v>54</v>
      </c>
      <c r="K137" t="s">
        <v>62</v>
      </c>
    </row>
    <row r="138" spans="1:11">
      <c r="A138" t="s">
        <v>189</v>
      </c>
      <c r="B138" t="s">
        <v>671</v>
      </c>
      <c r="C138" t="s">
        <v>937</v>
      </c>
      <c r="D138" s="1">
        <v>27</v>
      </c>
      <c r="E138">
        <v>6200</v>
      </c>
      <c r="F138">
        <v>-50</v>
      </c>
      <c r="G138" s="5">
        <v>43608</v>
      </c>
      <c r="H138" t="s">
        <v>1223</v>
      </c>
      <c r="I138" t="s">
        <v>1224</v>
      </c>
      <c r="J138" t="s">
        <v>1017</v>
      </c>
      <c r="K138" t="s">
        <v>967</v>
      </c>
    </row>
    <row r="139" spans="1:11">
      <c r="A139" t="s">
        <v>190</v>
      </c>
      <c r="B139" t="s">
        <v>672</v>
      </c>
      <c r="C139" t="s">
        <v>933</v>
      </c>
      <c r="D139" s="1">
        <v>44</v>
      </c>
      <c r="E139" t="s">
        <v>48</v>
      </c>
      <c r="F139">
        <v>-200</v>
      </c>
      <c r="G139" t="s">
        <v>1225</v>
      </c>
      <c r="H139" t="s">
        <v>1226</v>
      </c>
      <c r="I139" t="s">
        <v>1227</v>
      </c>
      <c r="J139" t="s">
        <v>57</v>
      </c>
      <c r="K139" t="s">
        <v>62</v>
      </c>
    </row>
    <row r="140" spans="1:11">
      <c r="A140" t="s">
        <v>191</v>
      </c>
      <c r="B140" t="s">
        <v>673</v>
      </c>
      <c r="C140" t="s">
        <v>39</v>
      </c>
      <c r="D140" s="1">
        <v>21</v>
      </c>
      <c r="E140" s="2">
        <v>4800</v>
      </c>
      <c r="F140" t="s">
        <v>1157</v>
      </c>
      <c r="G140" s="5">
        <v>44912</v>
      </c>
      <c r="H140" t="s">
        <v>1228</v>
      </c>
      <c r="I140" t="s">
        <v>1018</v>
      </c>
      <c r="J140" t="s">
        <v>50</v>
      </c>
      <c r="K140" t="s">
        <v>65</v>
      </c>
    </row>
    <row r="141" spans="1:11">
      <c r="A141" t="s">
        <v>192</v>
      </c>
      <c r="B141" t="s">
        <v>674</v>
      </c>
      <c r="C141" t="s">
        <v>925</v>
      </c>
      <c r="D141" s="1" t="s">
        <v>50</v>
      </c>
      <c r="E141">
        <v>7200</v>
      </c>
      <c r="F141" s="2">
        <v>500</v>
      </c>
      <c r="G141" t="s">
        <v>1229</v>
      </c>
      <c r="H141" t="s">
        <v>1230</v>
      </c>
      <c r="I141" t="s">
        <v>1231</v>
      </c>
      <c r="J141" t="s">
        <v>50</v>
      </c>
      <c r="K141" t="s">
        <v>996</v>
      </c>
    </row>
    <row r="142" spans="1:11">
      <c r="A142" t="s">
        <v>193</v>
      </c>
      <c r="B142" t="s">
        <v>675</v>
      </c>
      <c r="C142" t="s">
        <v>928</v>
      </c>
      <c r="D142" s="1">
        <v>38</v>
      </c>
      <c r="E142" s="2">
        <v>6500</v>
      </c>
      <c r="F142" t="s">
        <v>1003</v>
      </c>
      <c r="G142" s="5">
        <v>44042</v>
      </c>
      <c r="H142" t="s">
        <v>1232</v>
      </c>
      <c r="I142" t="s">
        <v>1233</v>
      </c>
      <c r="J142" t="s">
        <v>961</v>
      </c>
      <c r="K142" t="s">
        <v>64</v>
      </c>
    </row>
    <row r="143" spans="1:11">
      <c r="A143" t="s">
        <v>194</v>
      </c>
      <c r="B143" t="s">
        <v>676</v>
      </c>
      <c r="C143" t="s">
        <v>46</v>
      </c>
      <c r="D143" s="1">
        <v>32</v>
      </c>
      <c r="E143" t="s">
        <v>50</v>
      </c>
      <c r="F143" t="s">
        <v>48</v>
      </c>
      <c r="G143" s="5">
        <v>45191</v>
      </c>
      <c r="H143" t="s">
        <v>1234</v>
      </c>
      <c r="I143" t="s">
        <v>1235</v>
      </c>
      <c r="J143" t="s">
        <v>57</v>
      </c>
      <c r="K143" t="s">
        <v>64</v>
      </c>
    </row>
    <row r="144" spans="1:11">
      <c r="A144" t="s">
        <v>195</v>
      </c>
      <c r="B144" t="s">
        <v>677</v>
      </c>
      <c r="C144" t="s">
        <v>43</v>
      </c>
      <c r="D144" s="1" t="s">
        <v>48</v>
      </c>
      <c r="E144">
        <v>8500</v>
      </c>
      <c r="F144" t="s">
        <v>48</v>
      </c>
      <c r="G144" s="5">
        <v>45119</v>
      </c>
      <c r="H144" t="s">
        <v>1236</v>
      </c>
      <c r="I144" t="s">
        <v>1237</v>
      </c>
      <c r="J144" t="s">
        <v>961</v>
      </c>
      <c r="K144" t="s">
        <v>66</v>
      </c>
    </row>
    <row r="145" spans="1:11">
      <c r="A145" t="s">
        <v>196</v>
      </c>
      <c r="B145" t="s">
        <v>678</v>
      </c>
      <c r="C145" t="s">
        <v>35</v>
      </c>
      <c r="D145" s="1">
        <v>25</v>
      </c>
      <c r="E145">
        <v>5250</v>
      </c>
      <c r="F145" t="s">
        <v>1055</v>
      </c>
      <c r="G145" t="s">
        <v>1238</v>
      </c>
      <c r="H145" t="s">
        <v>1239</v>
      </c>
      <c r="I145">
        <f>974-7810-4322</f>
        <v>-11158</v>
      </c>
      <c r="K145" t="s">
        <v>67</v>
      </c>
    </row>
    <row r="146" spans="1:11">
      <c r="A146" t="s">
        <v>197</v>
      </c>
      <c r="B146" t="s">
        <v>679</v>
      </c>
      <c r="C146" t="s">
        <v>42</v>
      </c>
      <c r="D146" s="1">
        <v>43</v>
      </c>
      <c r="E146">
        <v>6000</v>
      </c>
      <c r="F146">
        <v>1000</v>
      </c>
      <c r="G146" s="5">
        <v>43656</v>
      </c>
      <c r="H146" t="s">
        <v>1240</v>
      </c>
      <c r="I146" t="s">
        <v>1241</v>
      </c>
      <c r="J146" t="s">
        <v>60</v>
      </c>
      <c r="K146" t="s">
        <v>967</v>
      </c>
    </row>
    <row r="147" spans="1:11">
      <c r="A147" t="s">
        <v>198</v>
      </c>
      <c r="B147" t="s">
        <v>680</v>
      </c>
      <c r="C147" t="s">
        <v>47</v>
      </c>
      <c r="D147" s="1">
        <v>30</v>
      </c>
      <c r="E147" t="s">
        <v>48</v>
      </c>
      <c r="G147" t="s">
        <v>1242</v>
      </c>
      <c r="H147" t="s">
        <v>1124</v>
      </c>
      <c r="I147">
        <v>123</v>
      </c>
      <c r="J147" t="s">
        <v>60</v>
      </c>
      <c r="K147" t="s">
        <v>66</v>
      </c>
    </row>
    <row r="148" spans="1:11">
      <c r="A148" t="s">
        <v>199</v>
      </c>
      <c r="B148" t="s">
        <v>33</v>
      </c>
      <c r="C148" t="s">
        <v>928</v>
      </c>
      <c r="D148" s="1">
        <v>15</v>
      </c>
      <c r="E148">
        <v>7750</v>
      </c>
      <c r="F148" t="s">
        <v>970</v>
      </c>
      <c r="G148" t="s">
        <v>1243</v>
      </c>
      <c r="H148" t="s">
        <v>1244</v>
      </c>
      <c r="I148" t="s">
        <v>1245</v>
      </c>
      <c r="J148" t="s">
        <v>56</v>
      </c>
      <c r="K148" t="s">
        <v>996</v>
      </c>
    </row>
    <row r="149" spans="1:11">
      <c r="A149" t="s">
        <v>200</v>
      </c>
      <c r="B149" t="s">
        <v>681</v>
      </c>
      <c r="C149" t="s">
        <v>925</v>
      </c>
      <c r="D149" s="1">
        <v>49</v>
      </c>
      <c r="E149">
        <v>4800</v>
      </c>
      <c r="F149">
        <v>500</v>
      </c>
      <c r="G149" s="5">
        <v>45564</v>
      </c>
      <c r="H149" t="s">
        <v>1246</v>
      </c>
      <c r="I149" t="s">
        <v>1247</v>
      </c>
      <c r="J149" t="s">
        <v>48</v>
      </c>
      <c r="K149" t="s">
        <v>66</v>
      </c>
    </row>
    <row r="150" spans="1:11">
      <c r="A150" t="s">
        <v>201</v>
      </c>
      <c r="B150" t="s">
        <v>682</v>
      </c>
      <c r="C150" t="s">
        <v>37</v>
      </c>
      <c r="D150" s="1">
        <v>34</v>
      </c>
      <c r="E150">
        <v>-4000</v>
      </c>
      <c r="F150">
        <v>750</v>
      </c>
      <c r="G150" t="s">
        <v>1248</v>
      </c>
      <c r="H150" t="s">
        <v>1249</v>
      </c>
      <c r="I150">
        <v>123</v>
      </c>
      <c r="J150" t="s">
        <v>60</v>
      </c>
    </row>
    <row r="151" spans="1:11">
      <c r="A151" t="s">
        <v>202</v>
      </c>
      <c r="B151" t="s">
        <v>683</v>
      </c>
      <c r="C151" t="s">
        <v>933</v>
      </c>
      <c r="D151" s="1" t="s">
        <v>48</v>
      </c>
      <c r="E151">
        <v>6000</v>
      </c>
      <c r="F151">
        <v>-200</v>
      </c>
      <c r="G151" s="5">
        <v>45354</v>
      </c>
      <c r="H151" t="s">
        <v>1250</v>
      </c>
      <c r="I151">
        <f>974-4309-1345</f>
        <v>-4680</v>
      </c>
      <c r="J151" t="s">
        <v>977</v>
      </c>
      <c r="K151" t="s">
        <v>66</v>
      </c>
    </row>
    <row r="152" spans="1:11">
      <c r="A152" t="s">
        <v>203</v>
      </c>
      <c r="B152" t="s">
        <v>684</v>
      </c>
      <c r="C152" t="s">
        <v>45</v>
      </c>
      <c r="D152" s="1">
        <v>37</v>
      </c>
      <c r="E152" t="s">
        <v>50</v>
      </c>
      <c r="F152" t="s">
        <v>48</v>
      </c>
      <c r="G152" t="s">
        <v>1251</v>
      </c>
      <c r="H152" t="s">
        <v>1252</v>
      </c>
      <c r="I152" t="s">
        <v>1253</v>
      </c>
      <c r="J152" t="s">
        <v>58</v>
      </c>
      <c r="K152" t="s">
        <v>64</v>
      </c>
    </row>
    <row r="153" spans="1:11">
      <c r="A153" t="s">
        <v>204</v>
      </c>
      <c r="B153" t="s">
        <v>685</v>
      </c>
      <c r="C153" t="s">
        <v>38</v>
      </c>
      <c r="D153" s="1">
        <v>28</v>
      </c>
      <c r="E153">
        <v>9000</v>
      </c>
      <c r="F153" t="s">
        <v>970</v>
      </c>
      <c r="G153" t="s">
        <v>1254</v>
      </c>
      <c r="H153" t="s">
        <v>1255</v>
      </c>
      <c r="I153" t="s">
        <v>1003</v>
      </c>
      <c r="J153" t="s">
        <v>57</v>
      </c>
      <c r="K153" t="s">
        <v>61</v>
      </c>
    </row>
    <row r="154" spans="1:11">
      <c r="A154" t="s">
        <v>205</v>
      </c>
      <c r="B154" t="s">
        <v>686</v>
      </c>
      <c r="C154" t="s">
        <v>35</v>
      </c>
      <c r="D154" s="1" t="s">
        <v>50</v>
      </c>
      <c r="E154">
        <v>5500</v>
      </c>
      <c r="F154">
        <v>-200</v>
      </c>
      <c r="G154" t="s">
        <v>48</v>
      </c>
      <c r="H154" t="s">
        <v>1256</v>
      </c>
      <c r="I154" t="s">
        <v>970</v>
      </c>
      <c r="J154" t="s">
        <v>54</v>
      </c>
      <c r="K154" t="s">
        <v>63</v>
      </c>
    </row>
    <row r="155" spans="1:11">
      <c r="A155" t="s">
        <v>206</v>
      </c>
      <c r="B155" t="s">
        <v>687</v>
      </c>
      <c r="C155" t="s">
        <v>928</v>
      </c>
      <c r="D155" s="1">
        <v>41</v>
      </c>
      <c r="E155">
        <v>6500</v>
      </c>
      <c r="F155">
        <v>250</v>
      </c>
      <c r="G155" t="s">
        <v>1257</v>
      </c>
      <c r="H155" t="s">
        <v>1258</v>
      </c>
      <c r="I155" t="s">
        <v>1259</v>
      </c>
      <c r="J155" t="s">
        <v>977</v>
      </c>
      <c r="K155" t="s">
        <v>967</v>
      </c>
    </row>
    <row r="156" spans="1:11">
      <c r="A156" t="s">
        <v>207</v>
      </c>
      <c r="B156" t="s">
        <v>688</v>
      </c>
      <c r="C156" t="s">
        <v>43</v>
      </c>
      <c r="D156" s="1">
        <v>23</v>
      </c>
      <c r="E156" t="s">
        <v>48</v>
      </c>
      <c r="F156">
        <v>500</v>
      </c>
      <c r="G156" t="s">
        <v>1260</v>
      </c>
      <c r="H156" t="s">
        <v>1261</v>
      </c>
      <c r="I156" t="s">
        <v>1262</v>
      </c>
      <c r="J156" t="s">
        <v>961</v>
      </c>
      <c r="K156" t="s">
        <v>66</v>
      </c>
    </row>
    <row r="157" spans="1:11">
      <c r="A157" t="s">
        <v>208</v>
      </c>
      <c r="B157" t="s">
        <v>689</v>
      </c>
      <c r="C157" t="s">
        <v>925</v>
      </c>
      <c r="D157" s="1">
        <v>135</v>
      </c>
      <c r="E157">
        <v>8200</v>
      </c>
      <c r="F157" t="s">
        <v>970</v>
      </c>
      <c r="G157" t="s">
        <v>1263</v>
      </c>
      <c r="H157" t="s">
        <v>1264</v>
      </c>
      <c r="I157">
        <f>974-4119-5778</f>
        <v>-8923</v>
      </c>
      <c r="K157" t="s">
        <v>48</v>
      </c>
    </row>
    <row r="158" spans="1:11">
      <c r="A158" t="s">
        <v>209</v>
      </c>
      <c r="B158" t="s">
        <v>690</v>
      </c>
      <c r="C158" t="s">
        <v>39</v>
      </c>
      <c r="D158" s="1">
        <v>31</v>
      </c>
      <c r="E158">
        <v>5200</v>
      </c>
      <c r="F158" t="s">
        <v>1055</v>
      </c>
      <c r="G158" s="5">
        <v>43659</v>
      </c>
      <c r="H158" t="s">
        <v>1265</v>
      </c>
      <c r="I158" t="s">
        <v>1266</v>
      </c>
      <c r="J158" t="s">
        <v>58</v>
      </c>
      <c r="K158" t="s">
        <v>65</v>
      </c>
    </row>
    <row r="159" spans="1:11">
      <c r="A159" t="s">
        <v>210</v>
      </c>
      <c r="B159" t="s">
        <v>691</v>
      </c>
      <c r="C159" t="s">
        <v>933</v>
      </c>
      <c r="D159" s="1">
        <v>45</v>
      </c>
      <c r="E159">
        <v>7000</v>
      </c>
      <c r="F159" t="s">
        <v>1157</v>
      </c>
      <c r="G159" t="s">
        <v>1267</v>
      </c>
      <c r="H159" t="s">
        <v>1268</v>
      </c>
      <c r="I159" t="s">
        <v>1269</v>
      </c>
      <c r="J159" t="s">
        <v>57</v>
      </c>
      <c r="K159" t="s">
        <v>62</v>
      </c>
    </row>
    <row r="160" spans="1:11">
      <c r="A160" t="s">
        <v>211</v>
      </c>
      <c r="B160" t="s">
        <v>692</v>
      </c>
      <c r="C160" t="s">
        <v>35</v>
      </c>
      <c r="D160" s="1">
        <v>26</v>
      </c>
      <c r="E160" t="s">
        <v>50</v>
      </c>
      <c r="F160">
        <v>750</v>
      </c>
      <c r="G160" t="s">
        <v>1270</v>
      </c>
      <c r="H160" t="s">
        <v>1271</v>
      </c>
      <c r="I160" t="s">
        <v>1272</v>
      </c>
      <c r="J160" t="s">
        <v>56</v>
      </c>
      <c r="K160" t="s">
        <v>62</v>
      </c>
    </row>
    <row r="161" spans="1:11">
      <c r="A161" t="s">
        <v>212</v>
      </c>
      <c r="B161" t="s">
        <v>693</v>
      </c>
      <c r="C161" t="s">
        <v>38</v>
      </c>
      <c r="D161" s="1">
        <v>39</v>
      </c>
      <c r="E161">
        <v>6750</v>
      </c>
      <c r="F161" t="s">
        <v>50</v>
      </c>
      <c r="G161" s="5">
        <v>44451</v>
      </c>
      <c r="H161" t="s">
        <v>1081</v>
      </c>
      <c r="I161" t="s">
        <v>970</v>
      </c>
      <c r="J161" t="s">
        <v>54</v>
      </c>
      <c r="K161" t="s">
        <v>967</v>
      </c>
    </row>
    <row r="162" spans="1:11">
      <c r="A162" t="s">
        <v>213</v>
      </c>
      <c r="B162" t="s">
        <v>694</v>
      </c>
      <c r="C162" t="s">
        <v>928</v>
      </c>
      <c r="D162" s="1" t="s">
        <v>48</v>
      </c>
      <c r="E162">
        <v>4500</v>
      </c>
      <c r="F162">
        <v>750</v>
      </c>
      <c r="G162" s="5">
        <v>45632</v>
      </c>
      <c r="H162" t="s">
        <v>1273</v>
      </c>
      <c r="I162" t="s">
        <v>1274</v>
      </c>
      <c r="J162" t="s">
        <v>50</v>
      </c>
      <c r="K162" t="s">
        <v>65</v>
      </c>
    </row>
    <row r="163" spans="1:11">
      <c r="A163" t="s">
        <v>214</v>
      </c>
      <c r="B163" t="s">
        <v>695</v>
      </c>
      <c r="C163" t="s">
        <v>45</v>
      </c>
      <c r="D163" s="1" t="s">
        <v>951</v>
      </c>
      <c r="E163" t="s">
        <v>48</v>
      </c>
      <c r="F163" t="s">
        <v>48</v>
      </c>
      <c r="G163" t="s">
        <v>1275</v>
      </c>
      <c r="H163" t="s">
        <v>1200</v>
      </c>
      <c r="I163" t="s">
        <v>1276</v>
      </c>
      <c r="J163" t="s">
        <v>57</v>
      </c>
      <c r="K163" t="s">
        <v>68</v>
      </c>
    </row>
    <row r="164" spans="1:11">
      <c r="A164" t="s">
        <v>215</v>
      </c>
      <c r="B164" t="s">
        <v>696</v>
      </c>
      <c r="C164" t="s">
        <v>42</v>
      </c>
      <c r="D164" s="1">
        <v>33</v>
      </c>
      <c r="E164">
        <v>9500</v>
      </c>
      <c r="F164" t="s">
        <v>1010</v>
      </c>
      <c r="G164" t="s">
        <v>1277</v>
      </c>
      <c r="H164" t="s">
        <v>1278</v>
      </c>
      <c r="I164">
        <v>47522591</v>
      </c>
      <c r="J164" t="s">
        <v>54</v>
      </c>
      <c r="K164" t="s">
        <v>65</v>
      </c>
    </row>
    <row r="165" spans="1:11">
      <c r="A165" t="s">
        <v>216</v>
      </c>
      <c r="B165" t="s">
        <v>697</v>
      </c>
      <c r="C165" t="s">
        <v>37</v>
      </c>
      <c r="D165" s="1">
        <v>20</v>
      </c>
      <c r="E165">
        <v>6000</v>
      </c>
      <c r="G165" s="5">
        <v>44053</v>
      </c>
      <c r="H165" t="s">
        <v>1279</v>
      </c>
      <c r="I165">
        <f>974-3580-1261</f>
        <v>-3867</v>
      </c>
      <c r="J165" t="s">
        <v>54</v>
      </c>
      <c r="K165" t="s">
        <v>68</v>
      </c>
    </row>
    <row r="166" spans="1:11">
      <c r="A166" t="s">
        <v>217</v>
      </c>
      <c r="B166" t="s">
        <v>698</v>
      </c>
      <c r="C166" t="s">
        <v>925</v>
      </c>
      <c r="D166" s="1">
        <v>42</v>
      </c>
      <c r="E166">
        <v>7200</v>
      </c>
      <c r="F166" t="s">
        <v>1003</v>
      </c>
      <c r="G166" t="s">
        <v>52</v>
      </c>
      <c r="H166" t="s">
        <v>1280</v>
      </c>
      <c r="I166" t="s">
        <v>1281</v>
      </c>
      <c r="J166" t="s">
        <v>50</v>
      </c>
    </row>
    <row r="167" spans="1:11">
      <c r="A167" t="s">
        <v>218</v>
      </c>
      <c r="B167" t="s">
        <v>699</v>
      </c>
      <c r="C167" t="s">
        <v>933</v>
      </c>
      <c r="D167" s="1" t="s">
        <v>50</v>
      </c>
      <c r="E167">
        <v>5000</v>
      </c>
      <c r="F167" t="s">
        <v>970</v>
      </c>
      <c r="G167" s="5">
        <v>45624</v>
      </c>
      <c r="H167" t="s">
        <v>1282</v>
      </c>
      <c r="I167" t="s">
        <v>48</v>
      </c>
      <c r="J167" t="s">
        <v>48</v>
      </c>
      <c r="K167" t="s">
        <v>67</v>
      </c>
    </row>
    <row r="168" spans="1:11">
      <c r="A168" t="s">
        <v>219</v>
      </c>
      <c r="B168" t="s">
        <v>33</v>
      </c>
      <c r="C168" t="s">
        <v>38</v>
      </c>
      <c r="D168" s="1">
        <v>29</v>
      </c>
      <c r="E168" t="s">
        <v>50</v>
      </c>
      <c r="F168">
        <v>-50</v>
      </c>
      <c r="G168" s="5">
        <v>45100</v>
      </c>
      <c r="H168" t="s">
        <v>1283</v>
      </c>
      <c r="I168" t="s">
        <v>970</v>
      </c>
      <c r="J168" t="s">
        <v>977</v>
      </c>
      <c r="K168" t="s">
        <v>63</v>
      </c>
    </row>
    <row r="169" spans="1:11">
      <c r="A169" t="s">
        <v>220</v>
      </c>
      <c r="B169" t="s">
        <v>700</v>
      </c>
      <c r="C169" t="s">
        <v>43</v>
      </c>
      <c r="D169" s="1">
        <v>36</v>
      </c>
      <c r="E169">
        <v>8200</v>
      </c>
      <c r="F169" t="s">
        <v>1055</v>
      </c>
      <c r="G169" s="5">
        <v>44014</v>
      </c>
      <c r="H169" t="s">
        <v>1284</v>
      </c>
      <c r="I169" t="s">
        <v>1285</v>
      </c>
      <c r="J169" t="s">
        <v>58</v>
      </c>
      <c r="K169" t="s">
        <v>996</v>
      </c>
    </row>
    <row r="170" spans="1:11">
      <c r="A170" t="s">
        <v>221</v>
      </c>
      <c r="B170" t="s">
        <v>701</v>
      </c>
      <c r="C170" t="s">
        <v>928</v>
      </c>
      <c r="D170" s="1" t="s">
        <v>48</v>
      </c>
      <c r="E170" t="s">
        <v>48</v>
      </c>
      <c r="F170">
        <v>300</v>
      </c>
      <c r="G170" t="s">
        <v>1286</v>
      </c>
      <c r="H170" t="s">
        <v>1287</v>
      </c>
      <c r="I170">
        <f>974-6166-3886</f>
        <v>-9078</v>
      </c>
      <c r="J170" t="s">
        <v>961</v>
      </c>
      <c r="K170" t="s">
        <v>63</v>
      </c>
    </row>
    <row r="171" spans="1:11">
      <c r="A171" t="s">
        <v>222</v>
      </c>
      <c r="B171" t="s">
        <v>702</v>
      </c>
      <c r="C171" t="s">
        <v>35</v>
      </c>
      <c r="D171" s="1">
        <v>-6</v>
      </c>
      <c r="E171">
        <v>7250</v>
      </c>
      <c r="F171">
        <v>250</v>
      </c>
      <c r="G171" t="s">
        <v>1288</v>
      </c>
      <c r="H171" t="s">
        <v>1289</v>
      </c>
      <c r="I171">
        <f>974-4572-7261</f>
        <v>-10859</v>
      </c>
      <c r="J171" t="s">
        <v>977</v>
      </c>
      <c r="K171" t="s">
        <v>48</v>
      </c>
    </row>
    <row r="172" spans="1:11">
      <c r="A172" t="s">
        <v>223</v>
      </c>
      <c r="B172" t="s">
        <v>703</v>
      </c>
      <c r="C172" t="s">
        <v>47</v>
      </c>
      <c r="D172" s="1">
        <v>47</v>
      </c>
      <c r="E172">
        <v>5500</v>
      </c>
      <c r="F172" t="s">
        <v>962</v>
      </c>
      <c r="G172" t="s">
        <v>1290</v>
      </c>
      <c r="H172" t="s">
        <v>1291</v>
      </c>
      <c r="I172" t="s">
        <v>1292</v>
      </c>
      <c r="J172" t="s">
        <v>57</v>
      </c>
      <c r="K172" t="s">
        <v>996</v>
      </c>
    </row>
    <row r="173" spans="1:11">
      <c r="A173" t="s">
        <v>224</v>
      </c>
      <c r="B173" t="s">
        <v>704</v>
      </c>
      <c r="C173" t="s">
        <v>939</v>
      </c>
      <c r="D173" s="1">
        <v>25</v>
      </c>
      <c r="E173">
        <v>-1000</v>
      </c>
      <c r="F173" t="s">
        <v>48</v>
      </c>
      <c r="G173" t="s">
        <v>1293</v>
      </c>
      <c r="H173" t="s">
        <v>1294</v>
      </c>
      <c r="I173">
        <v>50139911</v>
      </c>
      <c r="J173" t="s">
        <v>56</v>
      </c>
      <c r="K173" t="s">
        <v>48</v>
      </c>
    </row>
    <row r="174" spans="1:11">
      <c r="A174" t="s">
        <v>225</v>
      </c>
      <c r="B174" t="s">
        <v>705</v>
      </c>
      <c r="C174" t="s">
        <v>933</v>
      </c>
      <c r="D174" s="1">
        <v>30</v>
      </c>
      <c r="E174">
        <v>6500</v>
      </c>
      <c r="F174" s="2">
        <v>1000</v>
      </c>
      <c r="G174" t="s">
        <v>51</v>
      </c>
      <c r="H174" t="s">
        <v>1295</v>
      </c>
      <c r="I174" t="s">
        <v>1018</v>
      </c>
      <c r="J174" t="s">
        <v>54</v>
      </c>
      <c r="K174" t="s">
        <v>50</v>
      </c>
    </row>
    <row r="175" spans="1:11">
      <c r="A175" t="s">
        <v>226</v>
      </c>
      <c r="B175" t="s">
        <v>706</v>
      </c>
      <c r="C175" t="s">
        <v>928</v>
      </c>
      <c r="D175" s="1">
        <v>40</v>
      </c>
      <c r="E175" t="s">
        <v>50</v>
      </c>
      <c r="F175" t="s">
        <v>48</v>
      </c>
      <c r="G175" s="5">
        <v>44912</v>
      </c>
      <c r="H175" t="s">
        <v>1296</v>
      </c>
      <c r="I175">
        <f>974-3608-9364</f>
        <v>-11998</v>
      </c>
      <c r="J175" t="s">
        <v>56</v>
      </c>
      <c r="K175" t="s">
        <v>50</v>
      </c>
    </row>
    <row r="176" spans="1:11">
      <c r="A176" t="s">
        <v>227</v>
      </c>
      <c r="B176" t="s">
        <v>707</v>
      </c>
      <c r="C176" t="s">
        <v>46</v>
      </c>
      <c r="D176" s="1" t="s">
        <v>50</v>
      </c>
      <c r="E176">
        <v>9000</v>
      </c>
      <c r="F176" t="s">
        <v>958</v>
      </c>
      <c r="G176" t="s">
        <v>1297</v>
      </c>
      <c r="H176" t="s">
        <v>1298</v>
      </c>
      <c r="I176" t="s">
        <v>1299</v>
      </c>
      <c r="J176" t="s">
        <v>58</v>
      </c>
      <c r="K176" t="s">
        <v>66</v>
      </c>
    </row>
    <row r="177" spans="1:11">
      <c r="A177" t="s">
        <v>228</v>
      </c>
      <c r="B177" t="s">
        <v>708</v>
      </c>
      <c r="C177" t="s">
        <v>35</v>
      </c>
      <c r="D177" s="1">
        <v>22</v>
      </c>
      <c r="E177">
        <v>4750</v>
      </c>
      <c r="F177">
        <v>500</v>
      </c>
      <c r="G177" s="5">
        <v>44842</v>
      </c>
      <c r="H177" t="s">
        <v>1300</v>
      </c>
      <c r="I177" t="s">
        <v>1301</v>
      </c>
      <c r="J177" t="s">
        <v>57</v>
      </c>
      <c r="K177" t="s">
        <v>68</v>
      </c>
    </row>
    <row r="178" spans="1:11">
      <c r="A178" t="s">
        <v>229</v>
      </c>
      <c r="B178" t="s">
        <v>709</v>
      </c>
      <c r="C178" t="s">
        <v>45</v>
      </c>
      <c r="D178" s="1">
        <v>34</v>
      </c>
      <c r="E178">
        <v>6800</v>
      </c>
      <c r="F178" t="s">
        <v>48</v>
      </c>
      <c r="G178" s="5">
        <v>44599</v>
      </c>
      <c r="H178" t="s">
        <v>1302</v>
      </c>
      <c r="I178" t="s">
        <v>1303</v>
      </c>
      <c r="J178" t="s">
        <v>57</v>
      </c>
      <c r="K178" t="s">
        <v>61</v>
      </c>
    </row>
    <row r="179" spans="1:11">
      <c r="A179" t="s">
        <v>230</v>
      </c>
      <c r="B179" t="s">
        <v>710</v>
      </c>
      <c r="C179" t="s">
        <v>39</v>
      </c>
      <c r="D179" s="1" t="s">
        <v>48</v>
      </c>
      <c r="E179" t="s">
        <v>48</v>
      </c>
      <c r="F179" t="s">
        <v>958</v>
      </c>
      <c r="G179" t="s">
        <v>1304</v>
      </c>
      <c r="H179" t="s">
        <v>1305</v>
      </c>
      <c r="I179">
        <f>974-5456-8226</f>
        <v>-12708</v>
      </c>
      <c r="J179" t="s">
        <v>56</v>
      </c>
      <c r="K179" t="s">
        <v>967</v>
      </c>
    </row>
    <row r="180" spans="1:11">
      <c r="A180" t="s">
        <v>231</v>
      </c>
      <c r="B180" t="s">
        <v>711</v>
      </c>
      <c r="C180" t="s">
        <v>925</v>
      </c>
      <c r="D180" s="1">
        <v>180</v>
      </c>
      <c r="E180">
        <v>8500</v>
      </c>
      <c r="F180">
        <v>750</v>
      </c>
      <c r="G180" s="5">
        <v>44141</v>
      </c>
      <c r="H180" t="s">
        <v>1306</v>
      </c>
      <c r="I180">
        <v>75777958</v>
      </c>
      <c r="J180" t="s">
        <v>999</v>
      </c>
      <c r="K180" t="s">
        <v>68</v>
      </c>
    </row>
    <row r="181" spans="1:11">
      <c r="A181" t="s">
        <v>232</v>
      </c>
      <c r="B181" t="s">
        <v>712</v>
      </c>
      <c r="C181" t="s">
        <v>42</v>
      </c>
      <c r="D181" s="1">
        <v>27</v>
      </c>
      <c r="E181">
        <v>5200</v>
      </c>
      <c r="F181">
        <v>500</v>
      </c>
      <c r="G181" t="s">
        <v>1307</v>
      </c>
      <c r="H181" t="s">
        <v>1308</v>
      </c>
      <c r="I181">
        <v>58625581</v>
      </c>
      <c r="J181" t="s">
        <v>56</v>
      </c>
      <c r="K181" t="s">
        <v>66</v>
      </c>
    </row>
    <row r="182" spans="1:11">
      <c r="A182" t="s">
        <v>233</v>
      </c>
      <c r="B182" t="s">
        <v>713</v>
      </c>
      <c r="C182" t="s">
        <v>928</v>
      </c>
      <c r="D182" s="1">
        <v>38</v>
      </c>
      <c r="E182">
        <v>7000</v>
      </c>
      <c r="F182">
        <v>300</v>
      </c>
      <c r="G182" s="5">
        <v>45169</v>
      </c>
      <c r="H182" t="s">
        <v>1309</v>
      </c>
      <c r="I182" t="s">
        <v>1310</v>
      </c>
      <c r="J182" t="s">
        <v>60</v>
      </c>
      <c r="K182" t="s">
        <v>62</v>
      </c>
    </row>
    <row r="183" spans="1:11">
      <c r="A183" t="s">
        <v>234</v>
      </c>
      <c r="B183" t="s">
        <v>714</v>
      </c>
      <c r="C183" t="s">
        <v>43</v>
      </c>
      <c r="D183" s="1">
        <v>31</v>
      </c>
      <c r="E183" t="s">
        <v>50</v>
      </c>
      <c r="F183">
        <v>250</v>
      </c>
      <c r="G183" s="5">
        <v>43648</v>
      </c>
      <c r="H183" t="s">
        <v>1311</v>
      </c>
      <c r="I183" t="s">
        <v>1312</v>
      </c>
      <c r="J183" t="s">
        <v>59</v>
      </c>
      <c r="K183" t="s">
        <v>63</v>
      </c>
    </row>
    <row r="184" spans="1:11">
      <c r="A184" t="s">
        <v>235</v>
      </c>
      <c r="B184" t="s">
        <v>33</v>
      </c>
      <c r="C184" t="s">
        <v>37</v>
      </c>
      <c r="D184" s="1" t="s">
        <v>952</v>
      </c>
      <c r="E184">
        <v>6000</v>
      </c>
      <c r="F184">
        <v>750</v>
      </c>
      <c r="G184" s="5">
        <v>45171</v>
      </c>
      <c r="H184" t="s">
        <v>1313</v>
      </c>
      <c r="I184">
        <f>974-5084-8026</f>
        <v>-12136</v>
      </c>
      <c r="J184" t="s">
        <v>55</v>
      </c>
    </row>
    <row r="185" spans="1:11">
      <c r="A185" t="s">
        <v>236</v>
      </c>
      <c r="B185" t="s">
        <v>715</v>
      </c>
      <c r="C185" t="s">
        <v>933</v>
      </c>
      <c r="D185" s="1">
        <v>44</v>
      </c>
      <c r="E185">
        <v>5750</v>
      </c>
      <c r="F185" t="s">
        <v>1157</v>
      </c>
      <c r="G185" s="5">
        <v>43776</v>
      </c>
      <c r="H185" t="s">
        <v>1314</v>
      </c>
      <c r="I185">
        <v>69196659</v>
      </c>
      <c r="J185" t="s">
        <v>977</v>
      </c>
      <c r="K185" t="s">
        <v>66</v>
      </c>
    </row>
    <row r="186" spans="1:11">
      <c r="A186" t="s">
        <v>237</v>
      </c>
      <c r="B186" t="s">
        <v>716</v>
      </c>
      <c r="C186" t="s">
        <v>38</v>
      </c>
      <c r="D186" s="1">
        <v>19</v>
      </c>
      <c r="E186" t="s">
        <v>48</v>
      </c>
      <c r="F186" t="s">
        <v>1157</v>
      </c>
      <c r="G186" s="5">
        <v>45146</v>
      </c>
      <c r="H186" t="s">
        <v>1315</v>
      </c>
      <c r="I186">
        <v>77521639</v>
      </c>
      <c r="J186" t="s">
        <v>57</v>
      </c>
      <c r="K186" t="s">
        <v>67</v>
      </c>
    </row>
    <row r="187" spans="1:11">
      <c r="A187" t="s">
        <v>238</v>
      </c>
      <c r="B187" t="s">
        <v>717</v>
      </c>
      <c r="C187" t="s">
        <v>35</v>
      </c>
      <c r="D187" s="1" t="s">
        <v>48</v>
      </c>
      <c r="E187">
        <v>7500</v>
      </c>
      <c r="F187" t="s">
        <v>970</v>
      </c>
      <c r="G187" s="5">
        <v>44113</v>
      </c>
      <c r="H187" t="s">
        <v>48</v>
      </c>
      <c r="I187">
        <v>123</v>
      </c>
      <c r="J187" t="s">
        <v>50</v>
      </c>
      <c r="K187" t="s">
        <v>67</v>
      </c>
    </row>
    <row r="188" spans="1:11">
      <c r="A188" t="s">
        <v>239</v>
      </c>
      <c r="B188" t="s">
        <v>718</v>
      </c>
      <c r="C188" t="s">
        <v>925</v>
      </c>
      <c r="D188" s="1">
        <v>35</v>
      </c>
      <c r="E188">
        <v>-2500</v>
      </c>
      <c r="F188" s="2">
        <v>1000</v>
      </c>
      <c r="G188" s="5">
        <v>43575</v>
      </c>
      <c r="H188" t="s">
        <v>1316</v>
      </c>
      <c r="I188" t="s">
        <v>1317</v>
      </c>
      <c r="J188" t="s">
        <v>54</v>
      </c>
      <c r="K188" t="s">
        <v>63</v>
      </c>
    </row>
    <row r="189" spans="1:11">
      <c r="A189" t="s">
        <v>240</v>
      </c>
      <c r="B189" t="s">
        <v>719</v>
      </c>
      <c r="C189" t="s">
        <v>928</v>
      </c>
      <c r="D189" s="1">
        <v>29</v>
      </c>
      <c r="E189">
        <v>9200</v>
      </c>
      <c r="F189">
        <v>1000</v>
      </c>
      <c r="G189" t="s">
        <v>1318</v>
      </c>
      <c r="H189" t="s">
        <v>1319</v>
      </c>
      <c r="I189" t="s">
        <v>970</v>
      </c>
      <c r="J189" t="s">
        <v>977</v>
      </c>
      <c r="K189" t="s">
        <v>66</v>
      </c>
    </row>
    <row r="190" spans="1:11">
      <c r="A190" t="s">
        <v>241</v>
      </c>
      <c r="B190" t="s">
        <v>720</v>
      </c>
      <c r="C190" t="s">
        <v>45</v>
      </c>
      <c r="D190" s="1">
        <v>42</v>
      </c>
      <c r="E190" t="s">
        <v>50</v>
      </c>
      <c r="F190">
        <v>1000</v>
      </c>
      <c r="G190" t="s">
        <v>1320</v>
      </c>
      <c r="H190" t="s">
        <v>1321</v>
      </c>
      <c r="I190" t="s">
        <v>1322</v>
      </c>
      <c r="J190" t="s">
        <v>57</v>
      </c>
      <c r="K190" t="s">
        <v>62</v>
      </c>
    </row>
    <row r="191" spans="1:11">
      <c r="A191" t="s">
        <v>242</v>
      </c>
      <c r="B191" t="s">
        <v>721</v>
      </c>
      <c r="C191" t="s">
        <v>47</v>
      </c>
      <c r="D191" s="1" t="s">
        <v>50</v>
      </c>
      <c r="E191">
        <v>6500</v>
      </c>
      <c r="F191">
        <v>250</v>
      </c>
      <c r="G191" t="s">
        <v>1323</v>
      </c>
      <c r="H191" t="s">
        <v>1324</v>
      </c>
      <c r="I191">
        <v>39625089</v>
      </c>
      <c r="J191" t="s">
        <v>58</v>
      </c>
      <c r="K191" t="s">
        <v>65</v>
      </c>
    </row>
    <row r="192" spans="1:11">
      <c r="A192" t="s">
        <v>243</v>
      </c>
      <c r="B192" t="s">
        <v>722</v>
      </c>
      <c r="C192" t="s">
        <v>933</v>
      </c>
      <c r="D192" s="1">
        <v>24</v>
      </c>
      <c r="E192">
        <v>6250</v>
      </c>
      <c r="F192" t="s">
        <v>962</v>
      </c>
      <c r="G192" t="s">
        <v>1325</v>
      </c>
      <c r="H192" t="s">
        <v>1326</v>
      </c>
      <c r="I192">
        <f>974-5065-5995</f>
        <v>-10086</v>
      </c>
      <c r="K192" t="s">
        <v>50</v>
      </c>
    </row>
    <row r="193" spans="1:11">
      <c r="A193" t="s">
        <v>244</v>
      </c>
      <c r="B193" t="s">
        <v>723</v>
      </c>
      <c r="C193" t="s">
        <v>38</v>
      </c>
      <c r="D193" s="1">
        <v>37</v>
      </c>
      <c r="E193">
        <v>4800</v>
      </c>
      <c r="G193" t="s">
        <v>1327</v>
      </c>
      <c r="H193" t="s">
        <v>1328</v>
      </c>
      <c r="I193">
        <f>974-6461-6902</f>
        <v>-12389</v>
      </c>
      <c r="J193" t="s">
        <v>999</v>
      </c>
      <c r="K193" t="s">
        <v>62</v>
      </c>
    </row>
    <row r="194" spans="1:11">
      <c r="A194" t="s">
        <v>245</v>
      </c>
      <c r="B194" t="s">
        <v>724</v>
      </c>
      <c r="C194" t="s">
        <v>937</v>
      </c>
      <c r="D194" s="1">
        <v>16</v>
      </c>
      <c r="E194" t="s">
        <v>48</v>
      </c>
      <c r="F194">
        <v>250</v>
      </c>
      <c r="G194" s="5">
        <v>44758</v>
      </c>
      <c r="H194" t="s">
        <v>1329</v>
      </c>
      <c r="I194" t="s">
        <v>1330</v>
      </c>
      <c r="J194" t="s">
        <v>54</v>
      </c>
      <c r="K194" t="s">
        <v>50</v>
      </c>
    </row>
    <row r="195" spans="1:11">
      <c r="A195" t="s">
        <v>246</v>
      </c>
      <c r="B195" t="s">
        <v>725</v>
      </c>
      <c r="C195" t="s">
        <v>43</v>
      </c>
      <c r="D195" s="1" t="s">
        <v>48</v>
      </c>
      <c r="E195">
        <v>8000</v>
      </c>
      <c r="F195" t="s">
        <v>1157</v>
      </c>
      <c r="G195" t="s">
        <v>1331</v>
      </c>
      <c r="H195" t="s">
        <v>1332</v>
      </c>
      <c r="I195" t="s">
        <v>48</v>
      </c>
      <c r="J195" t="s">
        <v>999</v>
      </c>
      <c r="K195" t="s">
        <v>62</v>
      </c>
    </row>
    <row r="196" spans="1:11">
      <c r="A196" t="s">
        <v>247</v>
      </c>
      <c r="B196" t="s">
        <v>726</v>
      </c>
      <c r="C196" t="s">
        <v>928</v>
      </c>
      <c r="D196" s="1">
        <v>33</v>
      </c>
      <c r="E196">
        <v>5500</v>
      </c>
      <c r="F196">
        <v>500</v>
      </c>
      <c r="G196" t="s">
        <v>1333</v>
      </c>
      <c r="H196" t="s">
        <v>1334</v>
      </c>
      <c r="I196">
        <f>974-3131-1256</f>
        <v>-3413</v>
      </c>
      <c r="J196" t="s">
        <v>50</v>
      </c>
      <c r="K196" t="s">
        <v>62</v>
      </c>
    </row>
    <row r="197" spans="1:11">
      <c r="A197" t="s">
        <v>248</v>
      </c>
      <c r="B197" t="s">
        <v>727</v>
      </c>
      <c r="C197" t="s">
        <v>925</v>
      </c>
      <c r="D197" s="1">
        <v>41</v>
      </c>
      <c r="E197">
        <v>7500</v>
      </c>
      <c r="F197">
        <v>250</v>
      </c>
      <c r="G197" t="s">
        <v>1335</v>
      </c>
      <c r="H197" t="s">
        <v>53</v>
      </c>
      <c r="I197" t="s">
        <v>1336</v>
      </c>
      <c r="J197" t="s">
        <v>54</v>
      </c>
      <c r="K197" t="s">
        <v>996</v>
      </c>
    </row>
    <row r="198" spans="1:11">
      <c r="A198" t="s">
        <v>249</v>
      </c>
      <c r="B198" t="s">
        <v>728</v>
      </c>
      <c r="C198" t="s">
        <v>42</v>
      </c>
      <c r="D198" s="1">
        <v>28</v>
      </c>
      <c r="E198" t="s">
        <v>50</v>
      </c>
      <c r="F198">
        <v>0</v>
      </c>
      <c r="G198" s="5">
        <v>44657</v>
      </c>
      <c r="H198" t="s">
        <v>1337</v>
      </c>
      <c r="I198">
        <f>974-3314-4764</f>
        <v>-7104</v>
      </c>
      <c r="J198" t="s">
        <v>57</v>
      </c>
      <c r="K198" t="s">
        <v>50</v>
      </c>
    </row>
    <row r="199" spans="1:11">
      <c r="A199" t="s">
        <v>250</v>
      </c>
      <c r="B199" t="s">
        <v>729</v>
      </c>
      <c r="C199" t="s">
        <v>37</v>
      </c>
      <c r="D199" s="1">
        <v>-4</v>
      </c>
      <c r="E199">
        <v>7200</v>
      </c>
      <c r="F199">
        <v>1000</v>
      </c>
      <c r="G199" t="s">
        <v>1338</v>
      </c>
      <c r="H199" t="s">
        <v>1339</v>
      </c>
      <c r="I199" t="s">
        <v>1018</v>
      </c>
      <c r="J199" t="s">
        <v>961</v>
      </c>
      <c r="K199" t="s">
        <v>66</v>
      </c>
    </row>
    <row r="200" spans="1:11">
      <c r="A200" t="s">
        <v>251</v>
      </c>
      <c r="B200" t="s">
        <v>33</v>
      </c>
      <c r="C200" t="s">
        <v>39</v>
      </c>
      <c r="D200" s="1">
        <v>46</v>
      </c>
      <c r="E200">
        <v>5000</v>
      </c>
      <c r="F200">
        <v>250</v>
      </c>
      <c r="G200" s="5">
        <v>44442</v>
      </c>
      <c r="H200" t="s">
        <v>1340</v>
      </c>
      <c r="I200" t="s">
        <v>1341</v>
      </c>
      <c r="J200" t="s">
        <v>58</v>
      </c>
      <c r="K200" t="s">
        <v>68</v>
      </c>
    </row>
    <row r="201" spans="1:11">
      <c r="A201" t="s">
        <v>252</v>
      </c>
      <c r="B201" t="s">
        <v>730</v>
      </c>
      <c r="C201" t="s">
        <v>45</v>
      </c>
      <c r="D201" s="1">
        <v>30</v>
      </c>
      <c r="E201" t="s">
        <v>48</v>
      </c>
      <c r="F201" t="s">
        <v>962</v>
      </c>
      <c r="G201" s="5">
        <v>45463</v>
      </c>
      <c r="H201" t="s">
        <v>1342</v>
      </c>
      <c r="I201" t="s">
        <v>1003</v>
      </c>
      <c r="J201" t="s">
        <v>50</v>
      </c>
      <c r="K201" t="s">
        <v>66</v>
      </c>
    </row>
    <row r="202" spans="1:11">
      <c r="A202" t="s">
        <v>253</v>
      </c>
      <c r="B202" t="s">
        <v>731</v>
      </c>
      <c r="C202" t="s">
        <v>38</v>
      </c>
      <c r="D202" s="1" t="s">
        <v>50</v>
      </c>
      <c r="E202">
        <v>9750</v>
      </c>
      <c r="F202" t="s">
        <v>1055</v>
      </c>
      <c r="G202" t="s">
        <v>1343</v>
      </c>
      <c r="H202" t="s">
        <v>1344</v>
      </c>
      <c r="I202" t="s">
        <v>1345</v>
      </c>
      <c r="J202" t="s">
        <v>1017</v>
      </c>
      <c r="K202" t="s">
        <v>66</v>
      </c>
    </row>
    <row r="203" spans="1:11">
      <c r="A203" t="s">
        <v>254</v>
      </c>
      <c r="B203" t="s">
        <v>732</v>
      </c>
      <c r="C203" t="s">
        <v>928</v>
      </c>
      <c r="D203" s="1">
        <v>39</v>
      </c>
      <c r="E203">
        <v>6000</v>
      </c>
      <c r="G203" s="5">
        <v>44893</v>
      </c>
      <c r="H203" t="s">
        <v>1346</v>
      </c>
      <c r="I203" t="s">
        <v>50</v>
      </c>
      <c r="J203" t="s">
        <v>1017</v>
      </c>
      <c r="K203" t="s">
        <v>65</v>
      </c>
    </row>
    <row r="204" spans="1:11">
      <c r="A204" t="s">
        <v>255</v>
      </c>
      <c r="B204" t="s">
        <v>733</v>
      </c>
      <c r="C204" t="s">
        <v>35</v>
      </c>
      <c r="D204" s="1">
        <v>21</v>
      </c>
      <c r="E204">
        <v>-500</v>
      </c>
      <c r="F204" t="s">
        <v>1003</v>
      </c>
      <c r="G204" t="s">
        <v>50</v>
      </c>
      <c r="H204" t="s">
        <v>1347</v>
      </c>
      <c r="I204" t="s">
        <v>1348</v>
      </c>
      <c r="J204" t="s">
        <v>60</v>
      </c>
      <c r="K204" t="s">
        <v>50</v>
      </c>
    </row>
    <row r="205" spans="1:11">
      <c r="A205" t="s">
        <v>256</v>
      </c>
      <c r="B205" t="s">
        <v>734</v>
      </c>
      <c r="C205" t="s">
        <v>933</v>
      </c>
      <c r="D205" s="1" t="s">
        <v>48</v>
      </c>
      <c r="E205">
        <v>6800</v>
      </c>
      <c r="F205" s="2">
        <v>500</v>
      </c>
      <c r="G205" s="5">
        <v>43747</v>
      </c>
      <c r="H205" t="s">
        <v>1349</v>
      </c>
      <c r="I205">
        <v>31292301</v>
      </c>
      <c r="J205" t="s">
        <v>55</v>
      </c>
      <c r="K205" t="s">
        <v>61</v>
      </c>
    </row>
    <row r="206" spans="1:11">
      <c r="A206" t="s">
        <v>257</v>
      </c>
      <c r="B206" t="s">
        <v>735</v>
      </c>
      <c r="C206" t="s">
        <v>925</v>
      </c>
      <c r="D206" s="1">
        <v>34</v>
      </c>
      <c r="E206" t="s">
        <v>50</v>
      </c>
      <c r="F206" t="s">
        <v>1157</v>
      </c>
      <c r="G206" t="s">
        <v>1350</v>
      </c>
      <c r="H206" t="s">
        <v>1351</v>
      </c>
      <c r="I206">
        <f>974-7039-6387</f>
        <v>-12452</v>
      </c>
      <c r="J206" t="s">
        <v>54</v>
      </c>
      <c r="K206" t="s">
        <v>64</v>
      </c>
    </row>
    <row r="207" spans="1:11">
      <c r="A207" t="s">
        <v>258</v>
      </c>
      <c r="B207" t="s">
        <v>554</v>
      </c>
      <c r="C207" t="s">
        <v>43</v>
      </c>
      <c r="D207" s="1">
        <v>25</v>
      </c>
      <c r="E207">
        <v>4500</v>
      </c>
      <c r="F207" t="s">
        <v>48</v>
      </c>
      <c r="G207" s="5">
        <v>44341</v>
      </c>
      <c r="H207" t="s">
        <v>1352</v>
      </c>
      <c r="I207">
        <v>97453827852</v>
      </c>
      <c r="J207" t="s">
        <v>58</v>
      </c>
      <c r="K207" t="s">
        <v>64</v>
      </c>
    </row>
    <row r="208" spans="1:11">
      <c r="A208" t="s">
        <v>259</v>
      </c>
      <c r="B208" t="s">
        <v>736</v>
      </c>
      <c r="C208" t="s">
        <v>937</v>
      </c>
      <c r="D208" s="1">
        <v>43</v>
      </c>
      <c r="E208">
        <v>8250</v>
      </c>
      <c r="F208">
        <v>-200</v>
      </c>
      <c r="G208" t="s">
        <v>1353</v>
      </c>
      <c r="H208" t="s">
        <v>1354</v>
      </c>
      <c r="I208" t="s">
        <v>1355</v>
      </c>
      <c r="J208" t="s">
        <v>56</v>
      </c>
      <c r="K208" t="s">
        <v>67</v>
      </c>
    </row>
    <row r="209" spans="1:11">
      <c r="A209" t="s">
        <v>260</v>
      </c>
      <c r="B209" t="s">
        <v>737</v>
      </c>
      <c r="C209" t="s">
        <v>928</v>
      </c>
      <c r="D209" s="1">
        <v>32</v>
      </c>
      <c r="E209" t="s">
        <v>48</v>
      </c>
      <c r="F209">
        <v>250</v>
      </c>
      <c r="G209" t="s">
        <v>1356</v>
      </c>
      <c r="H209" t="s">
        <v>1357</v>
      </c>
      <c r="I209" t="s">
        <v>1358</v>
      </c>
      <c r="K209" t="s">
        <v>67</v>
      </c>
    </row>
    <row r="210" spans="1:11">
      <c r="A210" t="s">
        <v>261</v>
      </c>
      <c r="B210" t="s">
        <v>738</v>
      </c>
      <c r="C210" t="s">
        <v>47</v>
      </c>
      <c r="D210" s="1">
        <v>155</v>
      </c>
      <c r="E210">
        <v>7000</v>
      </c>
      <c r="F210">
        <v>500</v>
      </c>
      <c r="G210" t="s">
        <v>1359</v>
      </c>
      <c r="H210" t="s">
        <v>1059</v>
      </c>
      <c r="I210">
        <v>38586796</v>
      </c>
      <c r="J210" t="s">
        <v>60</v>
      </c>
      <c r="K210" t="s">
        <v>64</v>
      </c>
    </row>
    <row r="211" spans="1:11">
      <c r="A211" t="s">
        <v>262</v>
      </c>
      <c r="B211" t="s">
        <v>739</v>
      </c>
      <c r="C211" t="s">
        <v>38</v>
      </c>
      <c r="D211" s="1">
        <v>27</v>
      </c>
      <c r="E211">
        <v>5200</v>
      </c>
      <c r="F211">
        <v>500</v>
      </c>
      <c r="G211" s="5">
        <v>45543</v>
      </c>
      <c r="H211" t="s">
        <v>1360</v>
      </c>
      <c r="I211" t="s">
        <v>1361</v>
      </c>
      <c r="J211" t="s">
        <v>977</v>
      </c>
      <c r="K211" t="s">
        <v>62</v>
      </c>
    </row>
    <row r="212" spans="1:11">
      <c r="A212" t="s">
        <v>263</v>
      </c>
      <c r="B212" t="s">
        <v>740</v>
      </c>
      <c r="C212" t="s">
        <v>42</v>
      </c>
      <c r="D212" s="1" t="s">
        <v>50</v>
      </c>
      <c r="E212">
        <v>5500</v>
      </c>
      <c r="F212">
        <v>500</v>
      </c>
      <c r="G212" t="s">
        <v>51</v>
      </c>
      <c r="H212" t="s">
        <v>1362</v>
      </c>
      <c r="I212" t="s">
        <v>1363</v>
      </c>
      <c r="J212" t="s">
        <v>54</v>
      </c>
      <c r="K212" t="s">
        <v>66</v>
      </c>
    </row>
    <row r="213" spans="1:11">
      <c r="A213" t="s">
        <v>264</v>
      </c>
      <c r="B213" t="s">
        <v>741</v>
      </c>
      <c r="C213" t="s">
        <v>43</v>
      </c>
      <c r="D213" s="1">
        <v>36</v>
      </c>
      <c r="E213" t="s">
        <v>50</v>
      </c>
      <c r="F213">
        <v>500</v>
      </c>
      <c r="G213" s="5">
        <v>43851</v>
      </c>
      <c r="H213" t="s">
        <v>1364</v>
      </c>
      <c r="I213" t="s">
        <v>970</v>
      </c>
      <c r="J213" t="s">
        <v>58</v>
      </c>
      <c r="K213" t="s">
        <v>63</v>
      </c>
    </row>
    <row r="214" spans="1:11">
      <c r="A214" t="s">
        <v>265</v>
      </c>
      <c r="B214" t="s">
        <v>33</v>
      </c>
      <c r="C214" t="s">
        <v>925</v>
      </c>
      <c r="D214" s="1" t="s">
        <v>48</v>
      </c>
      <c r="E214">
        <v>9000</v>
      </c>
      <c r="F214" t="s">
        <v>1014</v>
      </c>
      <c r="G214" t="s">
        <v>1365</v>
      </c>
      <c r="H214" t="s">
        <v>1366</v>
      </c>
      <c r="I214" t="s">
        <v>1367</v>
      </c>
      <c r="J214" t="s">
        <v>50</v>
      </c>
      <c r="K214" t="s">
        <v>62</v>
      </c>
    </row>
    <row r="215" spans="1:11">
      <c r="A215" t="s">
        <v>266</v>
      </c>
      <c r="B215" t="s">
        <v>742</v>
      </c>
      <c r="C215" t="s">
        <v>35</v>
      </c>
      <c r="D215" s="1" t="s">
        <v>49</v>
      </c>
      <c r="E215">
        <v>6250</v>
      </c>
      <c r="F215">
        <v>-50</v>
      </c>
      <c r="G215" s="5">
        <v>44595</v>
      </c>
      <c r="H215" t="s">
        <v>1368</v>
      </c>
      <c r="I215" t="s">
        <v>1369</v>
      </c>
      <c r="J215" t="s">
        <v>56</v>
      </c>
      <c r="K215" t="s">
        <v>996</v>
      </c>
    </row>
    <row r="216" spans="1:11">
      <c r="A216" t="s">
        <v>267</v>
      </c>
      <c r="B216" t="s">
        <v>743</v>
      </c>
      <c r="C216" t="s">
        <v>933</v>
      </c>
      <c r="D216" s="1">
        <v>40</v>
      </c>
      <c r="E216" t="s">
        <v>48</v>
      </c>
      <c r="F216">
        <v>250</v>
      </c>
      <c r="G216" t="s">
        <v>1370</v>
      </c>
      <c r="H216" t="s">
        <v>1371</v>
      </c>
      <c r="I216">
        <v>43116485</v>
      </c>
      <c r="K216" t="s">
        <v>64</v>
      </c>
    </row>
    <row r="217" spans="1:11">
      <c r="A217" t="s">
        <v>268</v>
      </c>
      <c r="B217" t="s">
        <v>744</v>
      </c>
      <c r="C217" t="s">
        <v>928</v>
      </c>
      <c r="D217" s="1">
        <v>23</v>
      </c>
      <c r="E217">
        <v>4800</v>
      </c>
      <c r="F217">
        <v>250</v>
      </c>
      <c r="G217" s="5">
        <v>44213</v>
      </c>
      <c r="H217" t="s">
        <v>1372</v>
      </c>
      <c r="I217">
        <v>123</v>
      </c>
      <c r="J217" t="s">
        <v>48</v>
      </c>
    </row>
    <row r="218" spans="1:11">
      <c r="A218" t="s">
        <v>269</v>
      </c>
      <c r="B218" t="s">
        <v>745</v>
      </c>
      <c r="C218" t="s">
        <v>38</v>
      </c>
      <c r="D218" s="1">
        <v>31</v>
      </c>
      <c r="E218">
        <v>7200</v>
      </c>
      <c r="F218">
        <v>1000</v>
      </c>
      <c r="G218" s="5">
        <v>44597</v>
      </c>
      <c r="H218" t="s">
        <v>53</v>
      </c>
      <c r="I218" t="s">
        <v>1373</v>
      </c>
      <c r="J218" t="s">
        <v>961</v>
      </c>
      <c r="K218" t="s">
        <v>66</v>
      </c>
    </row>
    <row r="219" spans="1:11">
      <c r="A219" t="s">
        <v>270</v>
      </c>
      <c r="B219" t="s">
        <v>746</v>
      </c>
      <c r="C219" t="s">
        <v>45</v>
      </c>
      <c r="D219" s="1">
        <v>48</v>
      </c>
      <c r="E219">
        <v>6500</v>
      </c>
      <c r="F219" s="2">
        <v>750</v>
      </c>
      <c r="G219" s="5">
        <v>45265</v>
      </c>
      <c r="H219" t="s">
        <v>1374</v>
      </c>
      <c r="I219">
        <v>76938400</v>
      </c>
      <c r="J219" t="s">
        <v>50</v>
      </c>
      <c r="K219" t="s">
        <v>63</v>
      </c>
    </row>
    <row r="220" spans="1:11">
      <c r="A220" t="s">
        <v>271</v>
      </c>
      <c r="B220" t="s">
        <v>747</v>
      </c>
      <c r="C220" t="s">
        <v>37</v>
      </c>
      <c r="D220" s="1">
        <v>29</v>
      </c>
      <c r="E220">
        <v>-3000</v>
      </c>
      <c r="F220">
        <v>250</v>
      </c>
      <c r="G220" t="s">
        <v>50</v>
      </c>
      <c r="H220" t="s">
        <v>1375</v>
      </c>
      <c r="I220" t="s">
        <v>1376</v>
      </c>
      <c r="J220" t="s">
        <v>60</v>
      </c>
    </row>
    <row r="221" spans="1:11">
      <c r="A221" t="s">
        <v>272</v>
      </c>
      <c r="B221" t="s">
        <v>748</v>
      </c>
      <c r="C221" t="s">
        <v>39</v>
      </c>
      <c r="D221" s="1" t="s">
        <v>48</v>
      </c>
      <c r="E221">
        <v>8000</v>
      </c>
      <c r="F221">
        <v>500</v>
      </c>
      <c r="G221" t="s">
        <v>1377</v>
      </c>
      <c r="H221" t="s">
        <v>1008</v>
      </c>
      <c r="I221" t="s">
        <v>1378</v>
      </c>
      <c r="J221" t="s">
        <v>1017</v>
      </c>
      <c r="K221" t="s">
        <v>67</v>
      </c>
    </row>
    <row r="222" spans="1:11">
      <c r="A222" t="s">
        <v>273</v>
      </c>
      <c r="B222" t="s">
        <v>749</v>
      </c>
      <c r="C222" t="s">
        <v>933</v>
      </c>
      <c r="D222" s="1">
        <v>34</v>
      </c>
      <c r="E222" t="s">
        <v>50</v>
      </c>
      <c r="F222">
        <v>300</v>
      </c>
      <c r="G222" s="5">
        <v>44908</v>
      </c>
      <c r="H222" t="s">
        <v>1379</v>
      </c>
      <c r="I222" t="s">
        <v>1380</v>
      </c>
      <c r="J222" t="s">
        <v>48</v>
      </c>
      <c r="K222" t="s">
        <v>48</v>
      </c>
    </row>
    <row r="223" spans="1:11">
      <c r="A223" t="s">
        <v>274</v>
      </c>
      <c r="B223" t="s">
        <v>750</v>
      </c>
      <c r="C223" t="s">
        <v>925</v>
      </c>
      <c r="D223" s="1">
        <v>44</v>
      </c>
      <c r="E223">
        <v>5500</v>
      </c>
      <c r="F223" t="s">
        <v>48</v>
      </c>
      <c r="G223" s="5">
        <v>45386</v>
      </c>
      <c r="H223" t="s">
        <v>1001</v>
      </c>
      <c r="I223">
        <v>32986153</v>
      </c>
      <c r="J223" t="s">
        <v>57</v>
      </c>
      <c r="K223" t="s">
        <v>68</v>
      </c>
    </row>
    <row r="224" spans="1:11">
      <c r="A224" t="s">
        <v>275</v>
      </c>
      <c r="B224" t="s">
        <v>751</v>
      </c>
      <c r="C224" t="s">
        <v>928</v>
      </c>
      <c r="D224" s="1">
        <v>18</v>
      </c>
      <c r="E224">
        <v>9500</v>
      </c>
      <c r="F224" t="s">
        <v>1157</v>
      </c>
      <c r="G224" t="s">
        <v>1381</v>
      </c>
      <c r="H224" t="s">
        <v>1382</v>
      </c>
      <c r="I224">
        <v>72548506</v>
      </c>
      <c r="J224" t="s">
        <v>999</v>
      </c>
      <c r="K224" t="s">
        <v>65</v>
      </c>
    </row>
    <row r="225" spans="1:11">
      <c r="A225" t="s">
        <v>276</v>
      </c>
      <c r="B225" t="s">
        <v>752</v>
      </c>
      <c r="C225" t="s">
        <v>43</v>
      </c>
      <c r="D225" s="1" t="s">
        <v>50</v>
      </c>
      <c r="E225" t="s">
        <v>48</v>
      </c>
      <c r="G225" t="s">
        <v>52</v>
      </c>
      <c r="H225" t="s">
        <v>1383</v>
      </c>
      <c r="I225">
        <v>123</v>
      </c>
      <c r="J225" t="s">
        <v>977</v>
      </c>
      <c r="K225" t="s">
        <v>66</v>
      </c>
    </row>
    <row r="226" spans="1:11">
      <c r="A226" t="s">
        <v>277</v>
      </c>
      <c r="B226" t="s">
        <v>753</v>
      </c>
      <c r="C226" t="s">
        <v>46</v>
      </c>
      <c r="D226" s="1">
        <v>37</v>
      </c>
      <c r="E226">
        <v>6200</v>
      </c>
      <c r="F226" s="2">
        <v>500</v>
      </c>
      <c r="G226" s="5">
        <v>44169</v>
      </c>
      <c r="H226" t="s">
        <v>1384</v>
      </c>
      <c r="I226" t="s">
        <v>1385</v>
      </c>
      <c r="J226" t="s">
        <v>48</v>
      </c>
      <c r="K226" t="s">
        <v>66</v>
      </c>
    </row>
    <row r="227" spans="1:11">
      <c r="A227" t="s">
        <v>278</v>
      </c>
      <c r="B227" t="s">
        <v>754</v>
      </c>
      <c r="C227" t="s">
        <v>35</v>
      </c>
      <c r="D227" s="1">
        <v>26</v>
      </c>
      <c r="E227">
        <v>4750</v>
      </c>
      <c r="F227" s="2">
        <v>750</v>
      </c>
      <c r="G227" t="s">
        <v>1386</v>
      </c>
      <c r="H227" t="s">
        <v>1387</v>
      </c>
      <c r="I227" t="s">
        <v>970</v>
      </c>
      <c r="J227" t="s">
        <v>48</v>
      </c>
      <c r="K227" t="s">
        <v>996</v>
      </c>
    </row>
    <row r="228" spans="1:11">
      <c r="A228" t="s">
        <v>279</v>
      </c>
      <c r="B228" t="s">
        <v>755</v>
      </c>
      <c r="C228" t="s">
        <v>47</v>
      </c>
      <c r="D228" s="1">
        <v>-9</v>
      </c>
      <c r="E228">
        <v>7000</v>
      </c>
      <c r="F228">
        <v>250</v>
      </c>
      <c r="G228" s="5">
        <v>44473</v>
      </c>
      <c r="H228" t="s">
        <v>1388</v>
      </c>
      <c r="I228">
        <v>54135163</v>
      </c>
      <c r="J228" t="s">
        <v>59</v>
      </c>
      <c r="K228" t="s">
        <v>64</v>
      </c>
    </row>
    <row r="229" spans="1:11">
      <c r="A229" t="s">
        <v>280</v>
      </c>
      <c r="B229" t="s">
        <v>756</v>
      </c>
      <c r="C229" t="s">
        <v>42</v>
      </c>
      <c r="D229" s="1">
        <v>42</v>
      </c>
      <c r="E229" t="s">
        <v>50</v>
      </c>
      <c r="F229">
        <v>300</v>
      </c>
      <c r="G229" s="5">
        <v>44476</v>
      </c>
      <c r="H229" t="s">
        <v>1389</v>
      </c>
      <c r="I229" t="s">
        <v>1390</v>
      </c>
      <c r="J229" t="s">
        <v>977</v>
      </c>
      <c r="K229" t="s">
        <v>50</v>
      </c>
    </row>
    <row r="230" spans="1:11">
      <c r="A230" t="s">
        <v>281</v>
      </c>
      <c r="B230" t="s">
        <v>33</v>
      </c>
      <c r="C230" t="s">
        <v>925</v>
      </c>
      <c r="D230" s="1" t="s">
        <v>48</v>
      </c>
      <c r="E230">
        <v>6500</v>
      </c>
      <c r="F230">
        <v>750</v>
      </c>
      <c r="G230" s="5">
        <v>44217</v>
      </c>
      <c r="H230" t="s">
        <v>1391</v>
      </c>
      <c r="I230">
        <v>97470245211</v>
      </c>
      <c r="J230" t="s">
        <v>999</v>
      </c>
      <c r="K230" t="s">
        <v>62</v>
      </c>
    </row>
    <row r="231" spans="1:11">
      <c r="A231" t="s">
        <v>282</v>
      </c>
      <c r="B231" t="s">
        <v>757</v>
      </c>
      <c r="C231" t="s">
        <v>928</v>
      </c>
      <c r="D231" s="1">
        <v>30</v>
      </c>
      <c r="E231">
        <v>8200</v>
      </c>
      <c r="F231" t="s">
        <v>958</v>
      </c>
      <c r="G231" t="s">
        <v>1392</v>
      </c>
      <c r="H231" t="s">
        <v>1393</v>
      </c>
      <c r="I231">
        <f>974-4456-2027</f>
        <v>-5509</v>
      </c>
      <c r="J231" t="s">
        <v>55</v>
      </c>
      <c r="K231" t="s">
        <v>64</v>
      </c>
    </row>
    <row r="232" spans="1:11">
      <c r="A232" t="s">
        <v>283</v>
      </c>
      <c r="B232" t="s">
        <v>758</v>
      </c>
      <c r="C232" t="s">
        <v>43</v>
      </c>
      <c r="D232" s="1">
        <v>35</v>
      </c>
      <c r="E232" t="s">
        <v>48</v>
      </c>
      <c r="F232" t="s">
        <v>1055</v>
      </c>
      <c r="G232" t="s">
        <v>1394</v>
      </c>
      <c r="H232" t="s">
        <v>1395</v>
      </c>
      <c r="I232" t="s">
        <v>1396</v>
      </c>
      <c r="J232" t="s">
        <v>59</v>
      </c>
      <c r="K232" t="s">
        <v>66</v>
      </c>
    </row>
    <row r="233" spans="1:11">
      <c r="A233" t="s">
        <v>284</v>
      </c>
      <c r="B233" t="s">
        <v>759</v>
      </c>
      <c r="C233" t="s">
        <v>35</v>
      </c>
      <c r="D233" s="1">
        <v>22</v>
      </c>
      <c r="E233">
        <v>5250</v>
      </c>
      <c r="F233" t="s">
        <v>50</v>
      </c>
      <c r="G233" t="s">
        <v>1397</v>
      </c>
      <c r="H233" t="s">
        <v>1398</v>
      </c>
      <c r="I233" t="s">
        <v>1399</v>
      </c>
      <c r="J233" t="s">
        <v>48</v>
      </c>
      <c r="K233" t="s">
        <v>67</v>
      </c>
    </row>
    <row r="234" spans="1:11">
      <c r="A234" t="s">
        <v>285</v>
      </c>
      <c r="B234" t="s">
        <v>760</v>
      </c>
      <c r="C234" t="s">
        <v>933</v>
      </c>
      <c r="D234" s="1">
        <v>50</v>
      </c>
      <c r="E234">
        <v>4800</v>
      </c>
      <c r="F234">
        <v>250</v>
      </c>
      <c r="G234" s="5">
        <v>44933</v>
      </c>
      <c r="H234" t="s">
        <v>995</v>
      </c>
      <c r="I234">
        <v>54114963</v>
      </c>
      <c r="J234" t="s">
        <v>56</v>
      </c>
      <c r="K234" t="s">
        <v>967</v>
      </c>
    </row>
    <row r="235" spans="1:11">
      <c r="A235" t="s">
        <v>286</v>
      </c>
      <c r="B235" t="s">
        <v>761</v>
      </c>
      <c r="C235" t="s">
        <v>38</v>
      </c>
      <c r="D235" s="1" t="s">
        <v>953</v>
      </c>
      <c r="E235">
        <v>9000</v>
      </c>
      <c r="F235">
        <v>500</v>
      </c>
      <c r="G235" t="s">
        <v>1400</v>
      </c>
      <c r="H235" t="s">
        <v>1401</v>
      </c>
      <c r="I235" t="s">
        <v>1402</v>
      </c>
      <c r="J235" t="s">
        <v>1017</v>
      </c>
    </row>
    <row r="236" spans="1:11">
      <c r="A236" t="s">
        <v>287</v>
      </c>
      <c r="B236" t="s">
        <v>762</v>
      </c>
      <c r="C236" t="s">
        <v>45</v>
      </c>
      <c r="D236" s="1">
        <v>39</v>
      </c>
      <c r="E236" t="s">
        <v>50</v>
      </c>
      <c r="F236" t="s">
        <v>48</v>
      </c>
      <c r="G236" t="s">
        <v>978</v>
      </c>
      <c r="H236" t="s">
        <v>1403</v>
      </c>
      <c r="I236">
        <v>53091256</v>
      </c>
      <c r="J236" t="s">
        <v>54</v>
      </c>
      <c r="K236" t="s">
        <v>66</v>
      </c>
    </row>
    <row r="237" spans="1:11">
      <c r="A237" t="s">
        <v>288</v>
      </c>
      <c r="B237" t="s">
        <v>763</v>
      </c>
      <c r="C237" t="s">
        <v>928</v>
      </c>
      <c r="D237" s="1" t="s">
        <v>50</v>
      </c>
      <c r="E237">
        <v>6500</v>
      </c>
      <c r="F237">
        <v>300</v>
      </c>
      <c r="G237" s="5">
        <v>45646</v>
      </c>
      <c r="H237" t="s">
        <v>1404</v>
      </c>
      <c r="I237" t="s">
        <v>1405</v>
      </c>
      <c r="J237" t="s">
        <v>57</v>
      </c>
      <c r="K237" t="s">
        <v>66</v>
      </c>
    </row>
    <row r="238" spans="1:11">
      <c r="A238" t="s">
        <v>289</v>
      </c>
      <c r="B238" t="s">
        <v>764</v>
      </c>
      <c r="C238" t="s">
        <v>37</v>
      </c>
      <c r="D238" s="1">
        <v>27</v>
      </c>
      <c r="E238">
        <v>7750</v>
      </c>
      <c r="F238">
        <v>500</v>
      </c>
      <c r="G238" s="5">
        <v>44998</v>
      </c>
      <c r="H238" t="s">
        <v>1406</v>
      </c>
      <c r="I238" t="s">
        <v>1018</v>
      </c>
      <c r="J238" t="s">
        <v>1017</v>
      </c>
      <c r="K238" t="s">
        <v>67</v>
      </c>
    </row>
    <row r="239" spans="1:11">
      <c r="A239" t="s">
        <v>290</v>
      </c>
      <c r="B239" t="s">
        <v>765</v>
      </c>
      <c r="C239" t="s">
        <v>925</v>
      </c>
      <c r="D239" s="1" t="s">
        <v>48</v>
      </c>
      <c r="E239">
        <v>-1000</v>
      </c>
      <c r="F239" t="s">
        <v>970</v>
      </c>
      <c r="G239" s="5">
        <v>43862</v>
      </c>
      <c r="H239" t="s">
        <v>1407</v>
      </c>
      <c r="I239" t="s">
        <v>1408</v>
      </c>
      <c r="J239" t="s">
        <v>54</v>
      </c>
      <c r="K239" t="s">
        <v>67</v>
      </c>
    </row>
    <row r="240" spans="1:11">
      <c r="A240" t="s">
        <v>291</v>
      </c>
      <c r="B240" t="s">
        <v>766</v>
      </c>
      <c r="C240" t="s">
        <v>39</v>
      </c>
      <c r="D240" s="1">
        <v>41</v>
      </c>
      <c r="E240" t="s">
        <v>48</v>
      </c>
      <c r="F240">
        <v>750</v>
      </c>
      <c r="G240" t="s">
        <v>1409</v>
      </c>
      <c r="H240" t="s">
        <v>1410</v>
      </c>
      <c r="I240" t="s">
        <v>1411</v>
      </c>
      <c r="J240" t="s">
        <v>961</v>
      </c>
      <c r="K240" t="s">
        <v>65</v>
      </c>
    </row>
    <row r="241" spans="1:11">
      <c r="A241" t="s">
        <v>292</v>
      </c>
      <c r="B241" t="s">
        <v>767</v>
      </c>
      <c r="C241" t="s">
        <v>933</v>
      </c>
      <c r="D241" s="1">
        <v>32</v>
      </c>
      <c r="E241">
        <v>6000</v>
      </c>
      <c r="F241" t="s">
        <v>1157</v>
      </c>
      <c r="G241" t="s">
        <v>1412</v>
      </c>
      <c r="H241" t="s">
        <v>1413</v>
      </c>
      <c r="I241" t="s">
        <v>1414</v>
      </c>
      <c r="J241" t="s">
        <v>54</v>
      </c>
      <c r="K241" t="s">
        <v>62</v>
      </c>
    </row>
    <row r="242" spans="1:11">
      <c r="A242" t="s">
        <v>293</v>
      </c>
      <c r="B242" t="s">
        <v>768</v>
      </c>
      <c r="C242" t="s">
        <v>35</v>
      </c>
      <c r="D242" s="1">
        <v>24</v>
      </c>
      <c r="E242">
        <v>7200</v>
      </c>
      <c r="F242" t="s">
        <v>50</v>
      </c>
      <c r="G242" t="s">
        <v>1415</v>
      </c>
      <c r="H242" t="s">
        <v>1416</v>
      </c>
      <c r="I242">
        <v>74363062</v>
      </c>
      <c r="J242" t="s">
        <v>57</v>
      </c>
      <c r="K242" t="s">
        <v>64</v>
      </c>
    </row>
    <row r="243" spans="1:11">
      <c r="A243" t="s">
        <v>294</v>
      </c>
      <c r="B243" t="s">
        <v>769</v>
      </c>
      <c r="C243" t="s">
        <v>43</v>
      </c>
      <c r="D243" s="1">
        <v>145</v>
      </c>
      <c r="E243">
        <v>5500</v>
      </c>
      <c r="F243" t="s">
        <v>33</v>
      </c>
      <c r="G243" t="s">
        <v>1417</v>
      </c>
      <c r="H243" t="s">
        <v>1418</v>
      </c>
      <c r="I243">
        <v>77639313</v>
      </c>
      <c r="J243" t="s">
        <v>977</v>
      </c>
      <c r="K243" t="s">
        <v>967</v>
      </c>
    </row>
    <row r="244" spans="1:11">
      <c r="A244" t="s">
        <v>295</v>
      </c>
      <c r="B244" t="s">
        <v>770</v>
      </c>
      <c r="C244" t="s">
        <v>38</v>
      </c>
      <c r="D244" s="1">
        <v>36</v>
      </c>
      <c r="E244" t="s">
        <v>50</v>
      </c>
      <c r="F244">
        <v>250</v>
      </c>
      <c r="G244" t="s">
        <v>1419</v>
      </c>
      <c r="H244" t="s">
        <v>1420</v>
      </c>
      <c r="I244" t="s">
        <v>1421</v>
      </c>
      <c r="J244" t="s">
        <v>54</v>
      </c>
      <c r="K244" t="s">
        <v>967</v>
      </c>
    </row>
    <row r="245" spans="1:11">
      <c r="A245" t="s">
        <v>296</v>
      </c>
      <c r="B245" t="s">
        <v>33</v>
      </c>
      <c r="C245" t="s">
        <v>928</v>
      </c>
      <c r="D245" s="1">
        <v>28</v>
      </c>
      <c r="E245">
        <v>8500</v>
      </c>
      <c r="F245" t="s">
        <v>50</v>
      </c>
      <c r="G245" s="5">
        <v>45429</v>
      </c>
      <c r="H245" t="s">
        <v>1018</v>
      </c>
      <c r="I245">
        <v>49557645</v>
      </c>
      <c r="J245" t="s">
        <v>48</v>
      </c>
      <c r="K245" t="s">
        <v>62</v>
      </c>
    </row>
    <row r="246" spans="1:11">
      <c r="A246" t="s">
        <v>297</v>
      </c>
      <c r="B246" t="s">
        <v>771</v>
      </c>
      <c r="C246" t="s">
        <v>42</v>
      </c>
      <c r="D246" s="1">
        <v>43</v>
      </c>
      <c r="E246">
        <v>4500</v>
      </c>
      <c r="F246" s="2">
        <v>750</v>
      </c>
      <c r="G246" t="s">
        <v>1137</v>
      </c>
      <c r="H246" t="s">
        <v>1422</v>
      </c>
      <c r="I246" t="s">
        <v>1423</v>
      </c>
      <c r="J246" t="s">
        <v>48</v>
      </c>
      <c r="K246" t="s">
        <v>996</v>
      </c>
    </row>
    <row r="247" spans="1:11">
      <c r="A247" t="s">
        <v>298</v>
      </c>
      <c r="B247" t="s">
        <v>772</v>
      </c>
      <c r="C247" t="s">
        <v>925</v>
      </c>
      <c r="D247" s="1" t="s">
        <v>50</v>
      </c>
      <c r="E247" t="s">
        <v>48</v>
      </c>
      <c r="F247">
        <v>750</v>
      </c>
      <c r="G247" s="5">
        <v>45082</v>
      </c>
      <c r="H247" t="s">
        <v>1382</v>
      </c>
      <c r="I247">
        <v>52368330</v>
      </c>
      <c r="J247" t="s">
        <v>1017</v>
      </c>
      <c r="K247" t="s">
        <v>65</v>
      </c>
    </row>
    <row r="248" spans="1:11">
      <c r="A248" t="s">
        <v>299</v>
      </c>
      <c r="B248" t="s">
        <v>773</v>
      </c>
      <c r="C248" t="s">
        <v>35</v>
      </c>
      <c r="D248" s="1">
        <v>19</v>
      </c>
      <c r="E248">
        <v>7000</v>
      </c>
      <c r="F248">
        <v>500</v>
      </c>
      <c r="G248" t="s">
        <v>1424</v>
      </c>
      <c r="H248" t="s">
        <v>1425</v>
      </c>
      <c r="I248" t="s">
        <v>1426</v>
      </c>
      <c r="J248" t="s">
        <v>58</v>
      </c>
      <c r="K248" t="s">
        <v>967</v>
      </c>
    </row>
    <row r="249" spans="1:11">
      <c r="A249" t="s">
        <v>300</v>
      </c>
      <c r="B249" t="s">
        <v>774</v>
      </c>
      <c r="C249" t="s">
        <v>45</v>
      </c>
      <c r="D249" s="1" t="s">
        <v>48</v>
      </c>
      <c r="E249">
        <v>6200</v>
      </c>
      <c r="F249" s="2">
        <v>1000</v>
      </c>
      <c r="G249" t="s">
        <v>1427</v>
      </c>
      <c r="H249" t="s">
        <v>1428</v>
      </c>
      <c r="I249" t="s">
        <v>1429</v>
      </c>
      <c r="J249" t="s">
        <v>59</v>
      </c>
      <c r="K249" t="s">
        <v>62</v>
      </c>
    </row>
    <row r="250" spans="1:11">
      <c r="A250" t="s">
        <v>301</v>
      </c>
      <c r="B250" t="s">
        <v>775</v>
      </c>
      <c r="C250" t="s">
        <v>47</v>
      </c>
      <c r="D250" s="1">
        <v>33</v>
      </c>
      <c r="E250">
        <v>5750</v>
      </c>
      <c r="F250">
        <v>300</v>
      </c>
      <c r="G250" s="5">
        <v>44303</v>
      </c>
      <c r="H250" t="s">
        <v>1374</v>
      </c>
      <c r="I250">
        <v>59667239</v>
      </c>
    </row>
    <row r="251" spans="1:11">
      <c r="A251" t="s">
        <v>302</v>
      </c>
      <c r="B251" t="s">
        <v>776</v>
      </c>
      <c r="C251" t="s">
        <v>933</v>
      </c>
      <c r="D251" s="1">
        <v>38</v>
      </c>
      <c r="E251" t="s">
        <v>50</v>
      </c>
      <c r="F251">
        <v>-50</v>
      </c>
      <c r="G251" s="5">
        <v>45270</v>
      </c>
      <c r="H251" t="s">
        <v>1430</v>
      </c>
      <c r="I251" t="s">
        <v>1018</v>
      </c>
      <c r="J251" t="s">
        <v>961</v>
      </c>
      <c r="K251" t="s">
        <v>65</v>
      </c>
    </row>
    <row r="252" spans="1:11">
      <c r="A252" t="s">
        <v>303</v>
      </c>
      <c r="B252" t="s">
        <v>777</v>
      </c>
      <c r="C252" t="s">
        <v>928</v>
      </c>
      <c r="D252" s="1">
        <v>25</v>
      </c>
      <c r="E252">
        <v>9000</v>
      </c>
      <c r="F252" s="2">
        <v>750</v>
      </c>
      <c r="G252" t="s">
        <v>1431</v>
      </c>
      <c r="H252" t="s">
        <v>1432</v>
      </c>
      <c r="I252" t="s">
        <v>1433</v>
      </c>
      <c r="J252" t="s">
        <v>57</v>
      </c>
      <c r="K252" t="s">
        <v>64</v>
      </c>
    </row>
    <row r="253" spans="1:11">
      <c r="A253" t="s">
        <v>304</v>
      </c>
      <c r="B253" t="s">
        <v>778</v>
      </c>
      <c r="C253" t="s">
        <v>38</v>
      </c>
      <c r="D253" s="1">
        <v>-7</v>
      </c>
      <c r="E253">
        <v>6250</v>
      </c>
      <c r="F253">
        <v>1000</v>
      </c>
      <c r="G253" t="s">
        <v>1434</v>
      </c>
      <c r="H253" t="s">
        <v>1008</v>
      </c>
      <c r="I253">
        <f>974-3880-9712</f>
        <v>-12618</v>
      </c>
      <c r="J253" t="s">
        <v>60</v>
      </c>
      <c r="K253" t="s">
        <v>65</v>
      </c>
    </row>
    <row r="254" spans="1:11">
      <c r="A254" t="s">
        <v>305</v>
      </c>
      <c r="B254" t="s">
        <v>779</v>
      </c>
      <c r="C254" t="s">
        <v>37</v>
      </c>
      <c r="D254" s="1">
        <v>47</v>
      </c>
      <c r="E254" t="s">
        <v>48</v>
      </c>
      <c r="F254">
        <v>0</v>
      </c>
      <c r="G254" s="5">
        <v>43784</v>
      </c>
      <c r="H254" t="s">
        <v>1435</v>
      </c>
      <c r="I254">
        <f>974-4292-8120</f>
        <v>-11438</v>
      </c>
      <c r="J254" t="s">
        <v>57</v>
      </c>
      <c r="K254" t="s">
        <v>996</v>
      </c>
    </row>
    <row r="255" spans="1:11">
      <c r="A255" t="s">
        <v>306</v>
      </c>
      <c r="B255" t="s">
        <v>780</v>
      </c>
      <c r="C255" t="s">
        <v>43</v>
      </c>
      <c r="D255" s="1">
        <v>30</v>
      </c>
      <c r="E255">
        <v>5200</v>
      </c>
      <c r="F255">
        <v>500</v>
      </c>
      <c r="G255" t="s">
        <v>1137</v>
      </c>
      <c r="H255" t="s">
        <v>1436</v>
      </c>
      <c r="I255" t="s">
        <v>1437</v>
      </c>
      <c r="J255" t="s">
        <v>50</v>
      </c>
    </row>
    <row r="256" spans="1:11">
      <c r="A256" t="s">
        <v>307</v>
      </c>
      <c r="B256" t="s">
        <v>33</v>
      </c>
      <c r="C256" t="s">
        <v>925</v>
      </c>
      <c r="D256" s="1" t="s">
        <v>48</v>
      </c>
      <c r="E256">
        <v>8000</v>
      </c>
      <c r="F256">
        <v>-50</v>
      </c>
      <c r="G256" s="5">
        <v>45360</v>
      </c>
      <c r="H256" t="s">
        <v>1438</v>
      </c>
      <c r="I256">
        <f>974-7936-8102</f>
        <v>-15064</v>
      </c>
      <c r="J256" t="s">
        <v>48</v>
      </c>
      <c r="K256" t="s">
        <v>967</v>
      </c>
    </row>
    <row r="257" spans="1:11">
      <c r="A257" t="s">
        <v>308</v>
      </c>
      <c r="B257" t="s">
        <v>781</v>
      </c>
      <c r="C257" t="s">
        <v>42</v>
      </c>
      <c r="D257" s="1" t="s">
        <v>954</v>
      </c>
      <c r="E257">
        <v>-250</v>
      </c>
      <c r="F257">
        <v>1000</v>
      </c>
      <c r="G257" s="5">
        <v>44737</v>
      </c>
      <c r="H257" t="s">
        <v>1439</v>
      </c>
      <c r="I257">
        <v>32757896</v>
      </c>
      <c r="J257" t="s">
        <v>59</v>
      </c>
      <c r="K257" t="s">
        <v>65</v>
      </c>
    </row>
    <row r="258" spans="1:11">
      <c r="A258" t="s">
        <v>309</v>
      </c>
      <c r="B258" t="s">
        <v>782</v>
      </c>
      <c r="C258" t="s">
        <v>928</v>
      </c>
      <c r="D258" s="1">
        <v>41</v>
      </c>
      <c r="E258">
        <v>6500</v>
      </c>
      <c r="F258">
        <v>1250</v>
      </c>
      <c r="G258" t="s">
        <v>1440</v>
      </c>
      <c r="H258" t="s">
        <v>1441</v>
      </c>
      <c r="I258">
        <f>974-4989-5430</f>
        <v>-9445</v>
      </c>
      <c r="J258" t="s">
        <v>58</v>
      </c>
      <c r="K258" t="s">
        <v>61</v>
      </c>
    </row>
    <row r="259" spans="1:11">
      <c r="A259" t="s">
        <v>310</v>
      </c>
      <c r="B259" t="s">
        <v>783</v>
      </c>
      <c r="C259" t="s">
        <v>39</v>
      </c>
      <c r="D259" s="1">
        <v>29</v>
      </c>
      <c r="E259" t="s">
        <v>50</v>
      </c>
      <c r="F259">
        <v>1250</v>
      </c>
      <c r="G259" t="s">
        <v>1442</v>
      </c>
      <c r="H259" t="s">
        <v>1443</v>
      </c>
      <c r="I259" t="s">
        <v>1444</v>
      </c>
      <c r="J259" t="s">
        <v>60</v>
      </c>
      <c r="K259" t="s">
        <v>61</v>
      </c>
    </row>
    <row r="260" spans="1:11">
      <c r="A260" t="s">
        <v>311</v>
      </c>
      <c r="B260" t="s">
        <v>784</v>
      </c>
      <c r="C260" t="s">
        <v>35</v>
      </c>
      <c r="D260" s="1">
        <v>34</v>
      </c>
      <c r="E260">
        <v>4500</v>
      </c>
      <c r="F260" t="s">
        <v>1157</v>
      </c>
      <c r="G260" s="5">
        <v>44788</v>
      </c>
      <c r="H260" t="s">
        <v>1445</v>
      </c>
      <c r="I260">
        <v>63099241</v>
      </c>
      <c r="J260" t="s">
        <v>58</v>
      </c>
      <c r="K260" t="s">
        <v>967</v>
      </c>
    </row>
    <row r="261" spans="1:11">
      <c r="A261" t="s">
        <v>312</v>
      </c>
      <c r="B261" t="s">
        <v>785</v>
      </c>
      <c r="C261" t="s">
        <v>933</v>
      </c>
      <c r="D261" s="1" t="s">
        <v>50</v>
      </c>
      <c r="E261">
        <v>7200</v>
      </c>
      <c r="F261">
        <v>0</v>
      </c>
      <c r="G261" s="5">
        <v>44262</v>
      </c>
      <c r="H261" t="s">
        <v>1446</v>
      </c>
      <c r="I261" t="s">
        <v>1447</v>
      </c>
      <c r="J261" t="s">
        <v>55</v>
      </c>
      <c r="K261" t="s">
        <v>967</v>
      </c>
    </row>
    <row r="262" spans="1:11">
      <c r="A262" t="s">
        <v>313</v>
      </c>
      <c r="B262" t="s">
        <v>786</v>
      </c>
      <c r="C262" t="s">
        <v>45</v>
      </c>
      <c r="D262" s="1">
        <v>21</v>
      </c>
      <c r="E262" t="s">
        <v>48</v>
      </c>
      <c r="F262">
        <v>500</v>
      </c>
      <c r="G262" s="5">
        <v>43521</v>
      </c>
      <c r="H262" t="s">
        <v>1448</v>
      </c>
      <c r="I262" t="s">
        <v>1449</v>
      </c>
      <c r="J262" t="s">
        <v>55</v>
      </c>
      <c r="K262" t="s">
        <v>50</v>
      </c>
    </row>
    <row r="263" spans="1:11">
      <c r="A263" t="s">
        <v>314</v>
      </c>
      <c r="B263" t="s">
        <v>787</v>
      </c>
      <c r="C263" t="s">
        <v>38</v>
      </c>
      <c r="D263" s="1">
        <v>36</v>
      </c>
      <c r="E263">
        <v>9250</v>
      </c>
      <c r="F263" t="s">
        <v>970</v>
      </c>
      <c r="G263" s="5">
        <v>44575</v>
      </c>
      <c r="H263" t="s">
        <v>1018</v>
      </c>
      <c r="I263">
        <f>974-6773-4327</f>
        <v>-10126</v>
      </c>
      <c r="J263" t="s">
        <v>999</v>
      </c>
      <c r="K263" t="s">
        <v>61</v>
      </c>
    </row>
    <row r="264" spans="1:11">
      <c r="A264" t="s">
        <v>315</v>
      </c>
      <c r="B264" t="s">
        <v>788</v>
      </c>
      <c r="C264" t="s">
        <v>925</v>
      </c>
      <c r="D264" s="1" t="s">
        <v>48</v>
      </c>
      <c r="E264">
        <v>5500</v>
      </c>
      <c r="F264">
        <v>500</v>
      </c>
      <c r="G264" s="5">
        <v>44601</v>
      </c>
      <c r="H264" t="s">
        <v>1450</v>
      </c>
      <c r="I264" t="s">
        <v>50</v>
      </c>
      <c r="J264" t="s">
        <v>57</v>
      </c>
      <c r="K264" t="s">
        <v>65</v>
      </c>
    </row>
    <row r="265" spans="1:11">
      <c r="A265" t="s">
        <v>316</v>
      </c>
      <c r="B265" t="s">
        <v>789</v>
      </c>
      <c r="C265" t="s">
        <v>928</v>
      </c>
      <c r="D265" s="1">
        <v>160</v>
      </c>
      <c r="E265">
        <v>6500</v>
      </c>
      <c r="F265" t="s">
        <v>962</v>
      </c>
      <c r="G265" s="5">
        <v>44790</v>
      </c>
      <c r="H265" t="s">
        <v>1451</v>
      </c>
      <c r="I265" t="s">
        <v>1452</v>
      </c>
      <c r="J265" t="s">
        <v>48</v>
      </c>
      <c r="K265" t="s">
        <v>50</v>
      </c>
    </row>
    <row r="266" spans="1:11">
      <c r="A266" t="s">
        <v>317</v>
      </c>
      <c r="B266" t="s">
        <v>790</v>
      </c>
      <c r="C266" t="s">
        <v>35</v>
      </c>
      <c r="D266" s="1">
        <v>27</v>
      </c>
      <c r="E266" t="s">
        <v>50</v>
      </c>
      <c r="F266" s="2">
        <v>750</v>
      </c>
      <c r="G266" s="5">
        <v>44638</v>
      </c>
      <c r="H266" t="s">
        <v>1453</v>
      </c>
      <c r="I266">
        <v>35756752</v>
      </c>
      <c r="J266" t="s">
        <v>57</v>
      </c>
      <c r="K266" t="s">
        <v>996</v>
      </c>
    </row>
    <row r="267" spans="1:11">
      <c r="A267" t="s">
        <v>318</v>
      </c>
      <c r="B267" t="s">
        <v>791</v>
      </c>
      <c r="C267" t="s">
        <v>43</v>
      </c>
      <c r="D267" s="1">
        <v>45</v>
      </c>
      <c r="E267">
        <v>8000</v>
      </c>
      <c r="F267">
        <v>500</v>
      </c>
      <c r="G267" s="5">
        <v>43857</v>
      </c>
      <c r="H267" t="s">
        <v>1454</v>
      </c>
      <c r="I267" t="s">
        <v>1455</v>
      </c>
      <c r="J267" t="s">
        <v>961</v>
      </c>
      <c r="K267" t="s">
        <v>67</v>
      </c>
    </row>
    <row r="268" spans="1:11">
      <c r="A268" t="s">
        <v>319</v>
      </c>
      <c r="B268" t="s">
        <v>33</v>
      </c>
      <c r="C268" t="s">
        <v>47</v>
      </c>
      <c r="D268" s="1">
        <v>31</v>
      </c>
      <c r="E268">
        <v>5000</v>
      </c>
      <c r="F268">
        <v>500</v>
      </c>
      <c r="G268" s="5">
        <v>45657</v>
      </c>
      <c r="H268" t="s">
        <v>1456</v>
      </c>
      <c r="I268" t="s">
        <v>1457</v>
      </c>
      <c r="J268" t="s">
        <v>1017</v>
      </c>
      <c r="K268" t="s">
        <v>65</v>
      </c>
    </row>
    <row r="269" spans="1:11">
      <c r="A269" t="s">
        <v>320</v>
      </c>
      <c r="B269" t="s">
        <v>792</v>
      </c>
      <c r="C269" t="s">
        <v>933</v>
      </c>
      <c r="D269" s="1">
        <v>24</v>
      </c>
      <c r="E269" t="s">
        <v>48</v>
      </c>
      <c r="F269" t="s">
        <v>962</v>
      </c>
      <c r="G269" t="s">
        <v>1458</v>
      </c>
      <c r="H269" t="s">
        <v>1459</v>
      </c>
      <c r="I269" t="s">
        <v>1460</v>
      </c>
      <c r="J269" t="s">
        <v>56</v>
      </c>
      <c r="K269" t="s">
        <v>68</v>
      </c>
    </row>
    <row r="270" spans="1:11">
      <c r="A270" t="s">
        <v>321</v>
      </c>
      <c r="B270" t="s">
        <v>793</v>
      </c>
      <c r="C270" t="s">
        <v>38</v>
      </c>
      <c r="D270" s="1" t="s">
        <v>50</v>
      </c>
      <c r="E270">
        <v>6200</v>
      </c>
      <c r="F270" t="s">
        <v>1003</v>
      </c>
      <c r="G270" t="s">
        <v>1461</v>
      </c>
      <c r="H270" t="s">
        <v>1462</v>
      </c>
      <c r="I270" t="s">
        <v>1463</v>
      </c>
      <c r="J270" t="s">
        <v>54</v>
      </c>
    </row>
    <row r="271" spans="1:11">
      <c r="A271" t="s">
        <v>322</v>
      </c>
      <c r="B271" t="s">
        <v>794</v>
      </c>
      <c r="C271" t="s">
        <v>937</v>
      </c>
      <c r="D271" s="1">
        <v>39</v>
      </c>
      <c r="E271">
        <v>7500</v>
      </c>
      <c r="F271">
        <v>0</v>
      </c>
      <c r="G271" s="5">
        <v>43877</v>
      </c>
      <c r="H271" t="s">
        <v>1464</v>
      </c>
      <c r="I271" t="s">
        <v>1465</v>
      </c>
      <c r="J271" t="s">
        <v>977</v>
      </c>
      <c r="K271" t="s">
        <v>996</v>
      </c>
    </row>
    <row r="272" spans="1:11">
      <c r="A272" t="s">
        <v>323</v>
      </c>
      <c r="B272" t="s">
        <v>795</v>
      </c>
      <c r="C272" t="s">
        <v>928</v>
      </c>
      <c r="D272" s="1" t="s">
        <v>48</v>
      </c>
      <c r="E272">
        <v>4800</v>
      </c>
      <c r="F272" s="2">
        <v>750</v>
      </c>
      <c r="G272" s="5">
        <v>44169</v>
      </c>
      <c r="H272" t="s">
        <v>1466</v>
      </c>
      <c r="I272">
        <f>974-5072-9970</f>
        <v>-14068</v>
      </c>
      <c r="J272" t="s">
        <v>54</v>
      </c>
    </row>
    <row r="273" spans="1:11">
      <c r="A273" t="s">
        <v>324</v>
      </c>
      <c r="B273" t="s">
        <v>796</v>
      </c>
      <c r="C273" t="s">
        <v>925</v>
      </c>
      <c r="D273" s="1">
        <v>33</v>
      </c>
      <c r="E273" t="s">
        <v>50</v>
      </c>
      <c r="F273" t="s">
        <v>1157</v>
      </c>
      <c r="G273" s="5">
        <v>44174</v>
      </c>
      <c r="H273" t="s">
        <v>1467</v>
      </c>
      <c r="I273">
        <v>54401379</v>
      </c>
      <c r="J273" t="s">
        <v>57</v>
      </c>
      <c r="K273" t="s">
        <v>63</v>
      </c>
    </row>
    <row r="274" spans="1:11">
      <c r="A274" t="s">
        <v>325</v>
      </c>
      <c r="B274" t="s">
        <v>797</v>
      </c>
      <c r="C274" t="s">
        <v>43</v>
      </c>
      <c r="D274" s="1">
        <v>42</v>
      </c>
      <c r="E274">
        <v>8750</v>
      </c>
      <c r="F274">
        <v>250</v>
      </c>
      <c r="G274" t="s">
        <v>1468</v>
      </c>
      <c r="H274" t="s">
        <v>1469</v>
      </c>
      <c r="I274" t="s">
        <v>1470</v>
      </c>
      <c r="J274" t="s">
        <v>54</v>
      </c>
      <c r="K274" t="s">
        <v>65</v>
      </c>
    </row>
    <row r="275" spans="1:11">
      <c r="A275" t="s">
        <v>326</v>
      </c>
      <c r="B275" t="s">
        <v>798</v>
      </c>
      <c r="C275" t="s">
        <v>42</v>
      </c>
      <c r="D275" s="1">
        <v>28</v>
      </c>
      <c r="E275">
        <v>6500</v>
      </c>
      <c r="F275">
        <v>-50</v>
      </c>
      <c r="G275" s="5">
        <v>44661</v>
      </c>
      <c r="H275" t="s">
        <v>1471</v>
      </c>
      <c r="I275">
        <v>123</v>
      </c>
      <c r="J275" t="s">
        <v>961</v>
      </c>
      <c r="K275" t="s">
        <v>61</v>
      </c>
    </row>
    <row r="276" spans="1:11">
      <c r="A276" t="s">
        <v>327</v>
      </c>
      <c r="B276" t="s">
        <v>799</v>
      </c>
      <c r="C276" t="s">
        <v>39</v>
      </c>
      <c r="D276" s="1">
        <v>17</v>
      </c>
      <c r="E276">
        <v>-1500</v>
      </c>
      <c r="F276" s="2">
        <v>500</v>
      </c>
      <c r="G276" t="s">
        <v>1472</v>
      </c>
      <c r="H276" t="s">
        <v>1473</v>
      </c>
      <c r="I276">
        <v>51327897</v>
      </c>
      <c r="J276" t="s">
        <v>55</v>
      </c>
      <c r="K276" t="s">
        <v>50</v>
      </c>
    </row>
    <row r="277" spans="1:11">
      <c r="A277" t="s">
        <v>328</v>
      </c>
      <c r="B277" t="s">
        <v>596</v>
      </c>
      <c r="C277" t="s">
        <v>35</v>
      </c>
      <c r="D277" s="1">
        <v>35</v>
      </c>
      <c r="E277" t="s">
        <v>48</v>
      </c>
      <c r="F277">
        <v>250</v>
      </c>
      <c r="G277" s="5">
        <v>43818</v>
      </c>
      <c r="H277" t="s">
        <v>1474</v>
      </c>
      <c r="I277" t="s">
        <v>1475</v>
      </c>
      <c r="J277" t="s">
        <v>59</v>
      </c>
      <c r="K277" t="s">
        <v>63</v>
      </c>
    </row>
    <row r="278" spans="1:11">
      <c r="A278" t="s">
        <v>329</v>
      </c>
      <c r="B278" t="s">
        <v>800</v>
      </c>
      <c r="C278" t="s">
        <v>928</v>
      </c>
      <c r="D278" s="1">
        <v>40</v>
      </c>
      <c r="E278">
        <v>5500</v>
      </c>
      <c r="F278">
        <v>500</v>
      </c>
      <c r="G278" t="s">
        <v>48</v>
      </c>
      <c r="H278" t="s">
        <v>1476</v>
      </c>
      <c r="I278" t="s">
        <v>1477</v>
      </c>
      <c r="J278" t="s">
        <v>961</v>
      </c>
      <c r="K278" t="s">
        <v>48</v>
      </c>
    </row>
    <row r="279" spans="1:11">
      <c r="A279" t="s">
        <v>330</v>
      </c>
      <c r="B279" t="s">
        <v>33</v>
      </c>
      <c r="C279" t="s">
        <v>933</v>
      </c>
      <c r="D279" s="1" t="s">
        <v>50</v>
      </c>
      <c r="E279">
        <v>7200</v>
      </c>
      <c r="F279">
        <v>750</v>
      </c>
      <c r="G279" t="s">
        <v>1478</v>
      </c>
      <c r="H279" t="s">
        <v>1194</v>
      </c>
      <c r="I279">
        <f>974-5928-9165</f>
        <v>-14119</v>
      </c>
      <c r="J279" t="s">
        <v>56</v>
      </c>
      <c r="K279" t="s">
        <v>996</v>
      </c>
    </row>
    <row r="280" spans="1:11">
      <c r="A280" t="s">
        <v>331</v>
      </c>
      <c r="B280" t="s">
        <v>801</v>
      </c>
      <c r="C280" t="s">
        <v>38</v>
      </c>
      <c r="D280" s="1">
        <v>26</v>
      </c>
      <c r="E280">
        <v>6250</v>
      </c>
      <c r="F280" t="s">
        <v>48</v>
      </c>
      <c r="G280" s="5">
        <v>45037</v>
      </c>
      <c r="H280" t="s">
        <v>1008</v>
      </c>
      <c r="I280" t="s">
        <v>1479</v>
      </c>
      <c r="J280" t="s">
        <v>977</v>
      </c>
      <c r="K280" t="s">
        <v>996</v>
      </c>
    </row>
    <row r="281" spans="1:11">
      <c r="A281" t="s">
        <v>332</v>
      </c>
      <c r="B281" t="s">
        <v>802</v>
      </c>
      <c r="C281" t="s">
        <v>925</v>
      </c>
      <c r="D281" s="1" t="s">
        <v>48</v>
      </c>
      <c r="E281" t="s">
        <v>50</v>
      </c>
      <c r="F281">
        <v>-50</v>
      </c>
      <c r="G281" t="s">
        <v>1480</v>
      </c>
      <c r="H281" t="s">
        <v>1481</v>
      </c>
      <c r="I281" t="s">
        <v>1482</v>
      </c>
      <c r="J281" t="s">
        <v>977</v>
      </c>
      <c r="K281" t="s">
        <v>61</v>
      </c>
    </row>
    <row r="282" spans="1:11">
      <c r="A282" t="s">
        <v>333</v>
      </c>
      <c r="B282" t="s">
        <v>803</v>
      </c>
      <c r="C282" t="s">
        <v>45</v>
      </c>
      <c r="D282" s="1">
        <v>44</v>
      </c>
      <c r="E282">
        <v>9000</v>
      </c>
      <c r="F282">
        <v>500</v>
      </c>
      <c r="G282" s="5">
        <v>44907</v>
      </c>
      <c r="H282" t="s">
        <v>1483</v>
      </c>
      <c r="I282" t="s">
        <v>1484</v>
      </c>
      <c r="J282" t="s">
        <v>57</v>
      </c>
      <c r="K282" t="s">
        <v>996</v>
      </c>
    </row>
    <row r="283" spans="1:11">
      <c r="A283" t="s">
        <v>334</v>
      </c>
      <c r="B283" t="s">
        <v>804</v>
      </c>
      <c r="C283" t="s">
        <v>37</v>
      </c>
      <c r="D283" s="1">
        <v>-3</v>
      </c>
      <c r="E283" t="s">
        <v>48</v>
      </c>
      <c r="F283">
        <v>250</v>
      </c>
      <c r="G283" s="5">
        <v>44930</v>
      </c>
      <c r="H283" t="s">
        <v>1445</v>
      </c>
      <c r="I283" t="s">
        <v>1485</v>
      </c>
      <c r="J283" t="s">
        <v>50</v>
      </c>
      <c r="K283" t="s">
        <v>62</v>
      </c>
    </row>
    <row r="284" spans="1:11">
      <c r="A284" t="s">
        <v>335</v>
      </c>
      <c r="B284" t="s">
        <v>805</v>
      </c>
      <c r="C284" t="s">
        <v>43</v>
      </c>
      <c r="D284" s="1">
        <v>30</v>
      </c>
      <c r="E284">
        <v>4800</v>
      </c>
      <c r="F284">
        <v>250</v>
      </c>
      <c r="G284" t="s">
        <v>1486</v>
      </c>
      <c r="H284" t="s">
        <v>1487</v>
      </c>
      <c r="I284">
        <v>45342016</v>
      </c>
      <c r="J284" t="s">
        <v>60</v>
      </c>
      <c r="K284" t="s">
        <v>67</v>
      </c>
    </row>
    <row r="285" spans="1:11">
      <c r="A285" t="s">
        <v>336</v>
      </c>
      <c r="B285" t="s">
        <v>806</v>
      </c>
      <c r="C285" t="s">
        <v>928</v>
      </c>
      <c r="D285" s="1">
        <v>37</v>
      </c>
      <c r="E285">
        <v>7000</v>
      </c>
      <c r="F285">
        <v>500</v>
      </c>
      <c r="G285" s="5">
        <v>45146</v>
      </c>
      <c r="H285" t="s">
        <v>1488</v>
      </c>
      <c r="I285" t="s">
        <v>1489</v>
      </c>
      <c r="J285" t="s">
        <v>55</v>
      </c>
      <c r="K285" t="s">
        <v>66</v>
      </c>
    </row>
    <row r="286" spans="1:11">
      <c r="A286" t="s">
        <v>337</v>
      </c>
      <c r="B286" t="s">
        <v>807</v>
      </c>
      <c r="C286" t="s">
        <v>933</v>
      </c>
      <c r="D286" s="1">
        <v>23</v>
      </c>
      <c r="E286">
        <v>8200</v>
      </c>
      <c r="F286" t="s">
        <v>970</v>
      </c>
      <c r="G286" s="5">
        <v>45524</v>
      </c>
      <c r="H286" t="s">
        <v>1490</v>
      </c>
      <c r="I286">
        <v>97467633435</v>
      </c>
      <c r="J286" t="s">
        <v>999</v>
      </c>
      <c r="K286" t="s">
        <v>64</v>
      </c>
    </row>
    <row r="287" spans="1:11">
      <c r="A287" t="s">
        <v>338</v>
      </c>
      <c r="B287" t="s">
        <v>808</v>
      </c>
      <c r="C287" t="s">
        <v>47</v>
      </c>
      <c r="D287" s="1">
        <v>48</v>
      </c>
      <c r="E287">
        <v>5200</v>
      </c>
      <c r="F287">
        <v>750</v>
      </c>
      <c r="G287" t="s">
        <v>1491</v>
      </c>
      <c r="H287" t="s">
        <v>1492</v>
      </c>
      <c r="I287">
        <v>97431287667</v>
      </c>
      <c r="J287" t="s">
        <v>50</v>
      </c>
      <c r="K287" t="s">
        <v>50</v>
      </c>
    </row>
    <row r="288" spans="1:11">
      <c r="A288" t="s">
        <v>339</v>
      </c>
      <c r="B288" t="s">
        <v>687</v>
      </c>
      <c r="C288" t="s">
        <v>35</v>
      </c>
      <c r="D288" s="1" t="s">
        <v>48</v>
      </c>
      <c r="E288" t="s">
        <v>50</v>
      </c>
      <c r="F288">
        <v>500</v>
      </c>
      <c r="G288" s="5">
        <v>43500</v>
      </c>
      <c r="H288" t="s">
        <v>1493</v>
      </c>
      <c r="I288" t="s">
        <v>1494</v>
      </c>
      <c r="K288" t="s">
        <v>64</v>
      </c>
    </row>
    <row r="289" spans="1:11">
      <c r="A289" t="s">
        <v>340</v>
      </c>
      <c r="B289" t="s">
        <v>572</v>
      </c>
      <c r="C289" t="s">
        <v>925</v>
      </c>
      <c r="D289" s="1" t="s">
        <v>950</v>
      </c>
      <c r="E289">
        <v>6500</v>
      </c>
      <c r="G289" s="5">
        <v>43779</v>
      </c>
      <c r="H289" t="s">
        <v>1495</v>
      </c>
      <c r="I289" t="s">
        <v>1496</v>
      </c>
      <c r="J289" t="s">
        <v>55</v>
      </c>
      <c r="K289" t="s">
        <v>48</v>
      </c>
    </row>
    <row r="290" spans="1:11">
      <c r="A290" t="s">
        <v>341</v>
      </c>
      <c r="B290" t="s">
        <v>33</v>
      </c>
      <c r="C290" t="s">
        <v>38</v>
      </c>
      <c r="D290" s="1">
        <v>34</v>
      </c>
      <c r="E290" t="s">
        <v>48</v>
      </c>
      <c r="F290">
        <v>250</v>
      </c>
      <c r="G290" t="s">
        <v>1497</v>
      </c>
      <c r="H290" t="s">
        <v>1498</v>
      </c>
      <c r="I290">
        <v>58222967</v>
      </c>
      <c r="J290" t="s">
        <v>55</v>
      </c>
      <c r="K290" t="s">
        <v>63</v>
      </c>
    </row>
    <row r="291" spans="1:11">
      <c r="A291" t="s">
        <v>342</v>
      </c>
      <c r="B291" t="s">
        <v>584</v>
      </c>
      <c r="C291" t="s">
        <v>928</v>
      </c>
      <c r="D291" s="1">
        <v>31</v>
      </c>
      <c r="E291">
        <v>7500</v>
      </c>
      <c r="F291" t="s">
        <v>1003</v>
      </c>
      <c r="H291" t="s">
        <v>1499</v>
      </c>
      <c r="I291">
        <f>974-4824-9133</f>
        <v>-12983</v>
      </c>
      <c r="J291" t="s">
        <v>60</v>
      </c>
      <c r="K291" t="s">
        <v>66</v>
      </c>
    </row>
    <row r="292" spans="1:11">
      <c r="A292" t="s">
        <v>343</v>
      </c>
      <c r="B292" t="s">
        <v>590</v>
      </c>
      <c r="C292" t="s">
        <v>42</v>
      </c>
      <c r="D292" s="1">
        <v>41</v>
      </c>
      <c r="E292">
        <v>5250</v>
      </c>
      <c r="F292" t="s">
        <v>48</v>
      </c>
      <c r="H292" t="s">
        <v>1500</v>
      </c>
      <c r="I292">
        <v>46505336</v>
      </c>
      <c r="J292" t="s">
        <v>55</v>
      </c>
      <c r="K292" t="s">
        <v>63</v>
      </c>
    </row>
    <row r="293" spans="1:11">
      <c r="A293" t="s">
        <v>344</v>
      </c>
      <c r="B293" t="s">
        <v>809</v>
      </c>
      <c r="C293" t="s">
        <v>43</v>
      </c>
      <c r="D293" s="1" t="s">
        <v>50</v>
      </c>
      <c r="E293">
        <v>-5000</v>
      </c>
      <c r="F293">
        <v>0</v>
      </c>
      <c r="G293" t="s">
        <v>1501</v>
      </c>
      <c r="H293" t="s">
        <v>1502</v>
      </c>
      <c r="I293">
        <f>974-3886-1007</f>
        <v>-3919</v>
      </c>
      <c r="J293" t="s">
        <v>48</v>
      </c>
      <c r="K293" t="s">
        <v>50</v>
      </c>
    </row>
    <row r="294" spans="1:11">
      <c r="A294" t="s">
        <v>345</v>
      </c>
      <c r="B294" t="s">
        <v>810</v>
      </c>
      <c r="C294" t="s">
        <v>933</v>
      </c>
      <c r="D294" s="1">
        <v>20</v>
      </c>
      <c r="E294">
        <v>6200</v>
      </c>
      <c r="F294">
        <v>750</v>
      </c>
      <c r="G294" s="5">
        <v>44249</v>
      </c>
      <c r="H294" t="s">
        <v>1503</v>
      </c>
      <c r="I294" t="s">
        <v>1504</v>
      </c>
      <c r="J294" t="s">
        <v>999</v>
      </c>
      <c r="K294" t="s">
        <v>48</v>
      </c>
    </row>
    <row r="295" spans="1:11">
      <c r="A295" t="s">
        <v>346</v>
      </c>
      <c r="B295" t="s">
        <v>811</v>
      </c>
      <c r="C295" t="s">
        <v>35</v>
      </c>
      <c r="D295" s="1" t="s">
        <v>48</v>
      </c>
      <c r="E295" t="s">
        <v>50</v>
      </c>
      <c r="F295">
        <v>250</v>
      </c>
      <c r="G295" s="5">
        <v>44463</v>
      </c>
      <c r="H295" t="s">
        <v>1505</v>
      </c>
      <c r="I295">
        <v>123</v>
      </c>
      <c r="J295" t="s">
        <v>50</v>
      </c>
      <c r="K295" t="s">
        <v>63</v>
      </c>
    </row>
    <row r="296" spans="1:11">
      <c r="A296" t="s">
        <v>347</v>
      </c>
      <c r="B296" t="s">
        <v>812</v>
      </c>
      <c r="C296" t="s">
        <v>39</v>
      </c>
      <c r="D296" s="1">
        <v>43</v>
      </c>
      <c r="E296">
        <v>9000</v>
      </c>
      <c r="F296" t="s">
        <v>962</v>
      </c>
      <c r="G296" t="s">
        <v>1506</v>
      </c>
      <c r="H296" t="s">
        <v>53</v>
      </c>
      <c r="I296" t="s">
        <v>1507</v>
      </c>
      <c r="J296" t="s">
        <v>58</v>
      </c>
      <c r="K296" t="s">
        <v>67</v>
      </c>
    </row>
    <row r="297" spans="1:11">
      <c r="A297" t="s">
        <v>348</v>
      </c>
      <c r="B297" t="s">
        <v>813</v>
      </c>
      <c r="C297" t="s">
        <v>925</v>
      </c>
      <c r="D297" s="1">
        <v>27</v>
      </c>
      <c r="E297">
        <v>4500</v>
      </c>
      <c r="F297" t="s">
        <v>958</v>
      </c>
      <c r="G297" t="s">
        <v>1508</v>
      </c>
      <c r="H297" t="s">
        <v>1509</v>
      </c>
      <c r="I297">
        <v>62509971</v>
      </c>
      <c r="J297" t="s">
        <v>999</v>
      </c>
      <c r="K297" t="s">
        <v>66</v>
      </c>
    </row>
    <row r="298" spans="1:11">
      <c r="A298" t="s">
        <v>349</v>
      </c>
      <c r="B298" t="s">
        <v>642</v>
      </c>
      <c r="C298" t="s">
        <v>928</v>
      </c>
      <c r="D298" s="1">
        <v>36</v>
      </c>
      <c r="E298" t="s">
        <v>48</v>
      </c>
      <c r="F298" t="s">
        <v>970</v>
      </c>
      <c r="G298" t="s">
        <v>1510</v>
      </c>
      <c r="H298" t="s">
        <v>1511</v>
      </c>
      <c r="I298" t="s">
        <v>1512</v>
      </c>
      <c r="J298" t="s">
        <v>961</v>
      </c>
      <c r="K298" t="s">
        <v>68</v>
      </c>
    </row>
    <row r="299" spans="1:11">
      <c r="A299" t="s">
        <v>350</v>
      </c>
      <c r="B299" t="s">
        <v>814</v>
      </c>
      <c r="C299" t="s">
        <v>38</v>
      </c>
      <c r="D299" s="1">
        <v>150</v>
      </c>
      <c r="E299">
        <v>7200</v>
      </c>
      <c r="F299" t="s">
        <v>50</v>
      </c>
      <c r="G299" s="5">
        <v>44997</v>
      </c>
      <c r="H299" t="s">
        <v>1513</v>
      </c>
      <c r="I299" t="s">
        <v>1514</v>
      </c>
      <c r="J299" t="s">
        <v>961</v>
      </c>
      <c r="K299" t="s">
        <v>50</v>
      </c>
    </row>
    <row r="300" spans="1:11">
      <c r="A300" t="s">
        <v>351</v>
      </c>
      <c r="B300" t="s">
        <v>644</v>
      </c>
      <c r="C300" t="s">
        <v>45</v>
      </c>
      <c r="D300" s="1">
        <v>32</v>
      </c>
      <c r="E300">
        <v>5500</v>
      </c>
      <c r="F300">
        <v>250</v>
      </c>
      <c r="G300" t="s">
        <v>1515</v>
      </c>
      <c r="H300" t="s">
        <v>1516</v>
      </c>
      <c r="I300" t="s">
        <v>1517</v>
      </c>
      <c r="J300" t="s">
        <v>999</v>
      </c>
      <c r="K300" t="s">
        <v>50</v>
      </c>
    </row>
    <row r="301" spans="1:11">
      <c r="A301" t="s">
        <v>352</v>
      </c>
      <c r="B301" t="s">
        <v>33</v>
      </c>
      <c r="C301" t="s">
        <v>37</v>
      </c>
      <c r="D301" s="1" t="s">
        <v>50</v>
      </c>
      <c r="E301">
        <v>6750</v>
      </c>
      <c r="G301" s="5">
        <v>44166</v>
      </c>
      <c r="H301" t="s">
        <v>1518</v>
      </c>
      <c r="I301" t="s">
        <v>1519</v>
      </c>
      <c r="J301" t="s">
        <v>60</v>
      </c>
    </row>
    <row r="302" spans="1:11">
      <c r="A302" t="s">
        <v>353</v>
      </c>
      <c r="B302" t="s">
        <v>815</v>
      </c>
      <c r="C302" t="s">
        <v>933</v>
      </c>
      <c r="D302" s="1">
        <v>25</v>
      </c>
      <c r="E302" t="s">
        <v>50</v>
      </c>
      <c r="F302">
        <v>500</v>
      </c>
      <c r="G302" s="5">
        <v>44630</v>
      </c>
      <c r="H302" t="s">
        <v>1153</v>
      </c>
      <c r="I302" t="s">
        <v>1520</v>
      </c>
      <c r="K302" t="s">
        <v>61</v>
      </c>
    </row>
    <row r="303" spans="1:11">
      <c r="A303" t="s">
        <v>354</v>
      </c>
      <c r="B303" t="s">
        <v>605</v>
      </c>
      <c r="C303" t="s">
        <v>43</v>
      </c>
      <c r="D303" s="1" t="s">
        <v>48</v>
      </c>
      <c r="E303">
        <v>8000</v>
      </c>
      <c r="F303" t="s">
        <v>970</v>
      </c>
      <c r="G303" t="s">
        <v>1521</v>
      </c>
      <c r="H303" t="s">
        <v>1522</v>
      </c>
      <c r="I303" t="s">
        <v>50</v>
      </c>
      <c r="J303" t="s">
        <v>60</v>
      </c>
      <c r="K303" t="s">
        <v>64</v>
      </c>
    </row>
    <row r="304" spans="1:11">
      <c r="A304" t="s">
        <v>355</v>
      </c>
      <c r="B304" t="s">
        <v>816</v>
      </c>
      <c r="C304" t="s">
        <v>925</v>
      </c>
      <c r="D304" s="1">
        <v>39</v>
      </c>
      <c r="E304">
        <v>5000</v>
      </c>
      <c r="F304">
        <v>-200</v>
      </c>
      <c r="G304" t="s">
        <v>1523</v>
      </c>
      <c r="H304" t="s">
        <v>1524</v>
      </c>
      <c r="I304" t="s">
        <v>1525</v>
      </c>
      <c r="K304" t="s">
        <v>68</v>
      </c>
    </row>
    <row r="305" spans="1:11">
      <c r="A305" t="s">
        <v>356</v>
      </c>
      <c r="B305" t="s">
        <v>568</v>
      </c>
      <c r="C305" t="s">
        <v>35</v>
      </c>
      <c r="D305" s="1">
        <v>46</v>
      </c>
      <c r="E305" t="s">
        <v>48</v>
      </c>
      <c r="F305" t="s">
        <v>1010</v>
      </c>
      <c r="G305" s="5">
        <v>45297</v>
      </c>
      <c r="H305" t="s">
        <v>1526</v>
      </c>
      <c r="I305" t="s">
        <v>1527</v>
      </c>
      <c r="J305" t="s">
        <v>56</v>
      </c>
      <c r="K305" t="s">
        <v>50</v>
      </c>
    </row>
    <row r="306" spans="1:11">
      <c r="A306" t="s">
        <v>357</v>
      </c>
      <c r="B306" t="s">
        <v>817</v>
      </c>
      <c r="C306" t="s">
        <v>928</v>
      </c>
      <c r="D306" s="1">
        <v>29</v>
      </c>
      <c r="E306">
        <v>6500</v>
      </c>
      <c r="F306" t="s">
        <v>1055</v>
      </c>
      <c r="G306" s="5">
        <v>44459</v>
      </c>
      <c r="H306" t="s">
        <v>1528</v>
      </c>
      <c r="I306" t="s">
        <v>1529</v>
      </c>
      <c r="J306" t="s">
        <v>58</v>
      </c>
      <c r="K306" t="s">
        <v>48</v>
      </c>
    </row>
    <row r="307" spans="1:11">
      <c r="A307" t="s">
        <v>358</v>
      </c>
      <c r="B307" t="s">
        <v>818</v>
      </c>
      <c r="C307" t="s">
        <v>47</v>
      </c>
      <c r="D307" s="1">
        <v>-5</v>
      </c>
      <c r="E307">
        <v>8500</v>
      </c>
      <c r="F307" s="2">
        <v>750</v>
      </c>
      <c r="G307" t="s">
        <v>1530</v>
      </c>
      <c r="H307" t="s">
        <v>1531</v>
      </c>
      <c r="I307" t="s">
        <v>1532</v>
      </c>
      <c r="J307" t="s">
        <v>57</v>
      </c>
      <c r="K307" t="s">
        <v>62</v>
      </c>
    </row>
    <row r="308" spans="1:11">
      <c r="A308" t="s">
        <v>359</v>
      </c>
      <c r="B308" t="s">
        <v>819</v>
      </c>
      <c r="C308" t="s">
        <v>38</v>
      </c>
      <c r="D308" s="1">
        <v>35</v>
      </c>
      <c r="E308">
        <v>4800</v>
      </c>
      <c r="F308">
        <v>500</v>
      </c>
      <c r="G308" t="s">
        <v>1533</v>
      </c>
      <c r="H308" t="s">
        <v>1534</v>
      </c>
      <c r="I308" t="s">
        <v>1535</v>
      </c>
      <c r="J308" t="s">
        <v>977</v>
      </c>
      <c r="K308" t="s">
        <v>63</v>
      </c>
    </row>
    <row r="309" spans="1:11">
      <c r="A309" t="s">
        <v>360</v>
      </c>
      <c r="B309" t="s">
        <v>820</v>
      </c>
      <c r="C309" t="s">
        <v>42</v>
      </c>
      <c r="D309" s="1">
        <v>22</v>
      </c>
      <c r="E309" t="s">
        <v>50</v>
      </c>
      <c r="F309">
        <v>500</v>
      </c>
      <c r="G309" t="s">
        <v>1536</v>
      </c>
      <c r="H309" t="s">
        <v>1537</v>
      </c>
      <c r="I309" t="s">
        <v>1538</v>
      </c>
      <c r="J309" t="s">
        <v>58</v>
      </c>
      <c r="K309" t="s">
        <v>50</v>
      </c>
    </row>
    <row r="310" spans="1:11">
      <c r="A310" t="s">
        <v>361</v>
      </c>
      <c r="B310" t="s">
        <v>821</v>
      </c>
      <c r="C310" t="s">
        <v>43</v>
      </c>
      <c r="D310" s="1">
        <v>40</v>
      </c>
      <c r="E310">
        <v>7000</v>
      </c>
      <c r="F310">
        <v>250</v>
      </c>
      <c r="G310" t="s">
        <v>1539</v>
      </c>
      <c r="H310" t="s">
        <v>1540</v>
      </c>
      <c r="I310" t="s">
        <v>1541</v>
      </c>
      <c r="J310" t="s">
        <v>55</v>
      </c>
      <c r="K310" t="s">
        <v>50</v>
      </c>
    </row>
    <row r="311" spans="1:11">
      <c r="A311" t="s">
        <v>362</v>
      </c>
      <c r="B311" t="s">
        <v>616</v>
      </c>
      <c r="C311" t="s">
        <v>35</v>
      </c>
      <c r="D311" s="1" t="s">
        <v>48</v>
      </c>
      <c r="E311">
        <v>6200</v>
      </c>
      <c r="F311">
        <v>250</v>
      </c>
      <c r="G311" s="5">
        <v>45018</v>
      </c>
      <c r="H311" t="s">
        <v>1542</v>
      </c>
      <c r="I311" t="s">
        <v>970</v>
      </c>
      <c r="J311" t="s">
        <v>59</v>
      </c>
      <c r="K311" t="s">
        <v>967</v>
      </c>
    </row>
    <row r="312" spans="1:11">
      <c r="A312" t="s">
        <v>363</v>
      </c>
      <c r="B312" t="s">
        <v>33</v>
      </c>
      <c r="C312" t="s">
        <v>925</v>
      </c>
      <c r="D312" s="1" t="s">
        <v>955</v>
      </c>
      <c r="E312" t="s">
        <v>48</v>
      </c>
      <c r="F312">
        <v>750</v>
      </c>
      <c r="G312" s="5">
        <v>43600</v>
      </c>
      <c r="H312" t="s">
        <v>1543</v>
      </c>
      <c r="I312" t="s">
        <v>1544</v>
      </c>
      <c r="J312" t="s">
        <v>57</v>
      </c>
      <c r="K312" t="s">
        <v>64</v>
      </c>
    </row>
    <row r="313" spans="1:11">
      <c r="A313" t="s">
        <v>364</v>
      </c>
      <c r="B313" t="s">
        <v>822</v>
      </c>
      <c r="C313" t="s">
        <v>928</v>
      </c>
      <c r="D313" s="1">
        <v>31</v>
      </c>
      <c r="E313">
        <v>5750</v>
      </c>
      <c r="F313" t="s">
        <v>33</v>
      </c>
      <c r="G313" t="s">
        <v>1545</v>
      </c>
      <c r="H313" t="s">
        <v>1546</v>
      </c>
      <c r="I313" t="s">
        <v>1547</v>
      </c>
      <c r="J313" t="s">
        <v>56</v>
      </c>
      <c r="K313" t="s">
        <v>63</v>
      </c>
    </row>
    <row r="314" spans="1:11">
      <c r="A314" t="s">
        <v>365</v>
      </c>
      <c r="B314" t="s">
        <v>823</v>
      </c>
      <c r="C314" t="s">
        <v>933</v>
      </c>
      <c r="D314" s="1" t="s">
        <v>50</v>
      </c>
      <c r="E314">
        <v>9000</v>
      </c>
      <c r="F314">
        <v>250</v>
      </c>
      <c r="G314" t="s">
        <v>48</v>
      </c>
      <c r="H314" t="s">
        <v>1548</v>
      </c>
      <c r="I314">
        <f>974-7708-5518</f>
        <v>-12252</v>
      </c>
      <c r="J314" t="s">
        <v>1017</v>
      </c>
      <c r="K314" t="s">
        <v>63</v>
      </c>
    </row>
    <row r="315" spans="1:11">
      <c r="A315" t="s">
        <v>366</v>
      </c>
      <c r="B315" t="s">
        <v>824</v>
      </c>
      <c r="C315" t="s">
        <v>39</v>
      </c>
      <c r="D315" s="1">
        <v>24</v>
      </c>
      <c r="E315">
        <v>-2000</v>
      </c>
      <c r="F315" t="s">
        <v>962</v>
      </c>
      <c r="G315" s="5">
        <v>44933</v>
      </c>
      <c r="H315" t="s">
        <v>1549</v>
      </c>
      <c r="I315" t="s">
        <v>1550</v>
      </c>
      <c r="J315" t="s">
        <v>54</v>
      </c>
      <c r="K315" t="s">
        <v>68</v>
      </c>
    </row>
    <row r="316" spans="1:11">
      <c r="A316" t="s">
        <v>367</v>
      </c>
      <c r="B316" t="s">
        <v>825</v>
      </c>
      <c r="C316" t="s">
        <v>38</v>
      </c>
      <c r="D316" s="1">
        <v>42</v>
      </c>
      <c r="E316">
        <v>6500</v>
      </c>
      <c r="F316" t="s">
        <v>48</v>
      </c>
      <c r="G316" s="5">
        <v>44792</v>
      </c>
      <c r="H316" t="s">
        <v>1551</v>
      </c>
      <c r="I316" t="s">
        <v>1552</v>
      </c>
      <c r="J316" t="s">
        <v>54</v>
      </c>
      <c r="K316" t="s">
        <v>67</v>
      </c>
    </row>
    <row r="317" spans="1:11">
      <c r="A317" t="s">
        <v>368</v>
      </c>
      <c r="B317" t="s">
        <v>613</v>
      </c>
      <c r="C317" t="s">
        <v>45</v>
      </c>
      <c r="D317" s="1">
        <v>38</v>
      </c>
      <c r="E317" t="s">
        <v>50</v>
      </c>
      <c r="F317">
        <v>750</v>
      </c>
      <c r="G317" t="s">
        <v>1553</v>
      </c>
      <c r="H317" t="s">
        <v>1554</v>
      </c>
      <c r="I317" t="s">
        <v>1555</v>
      </c>
      <c r="J317" t="s">
        <v>999</v>
      </c>
      <c r="K317" t="s">
        <v>61</v>
      </c>
    </row>
    <row r="318" spans="1:11">
      <c r="A318" t="s">
        <v>369</v>
      </c>
      <c r="B318" t="s">
        <v>826</v>
      </c>
      <c r="C318" t="s">
        <v>35</v>
      </c>
      <c r="D318" s="1" t="s">
        <v>48</v>
      </c>
      <c r="E318">
        <v>7200</v>
      </c>
      <c r="F318" t="s">
        <v>1003</v>
      </c>
      <c r="G318" s="5">
        <v>44764</v>
      </c>
      <c r="H318" t="s">
        <v>1556</v>
      </c>
      <c r="I318" t="s">
        <v>1557</v>
      </c>
      <c r="J318" t="s">
        <v>54</v>
      </c>
      <c r="K318" t="s">
        <v>65</v>
      </c>
    </row>
    <row r="319" spans="1:11">
      <c r="A319" t="s">
        <v>370</v>
      </c>
      <c r="B319" t="s">
        <v>827</v>
      </c>
      <c r="C319" t="s">
        <v>928</v>
      </c>
      <c r="D319" s="1">
        <v>18</v>
      </c>
      <c r="E319">
        <v>4750</v>
      </c>
      <c r="F319">
        <v>500</v>
      </c>
      <c r="G319" s="5">
        <v>43613</v>
      </c>
      <c r="I319">
        <f>974-5730-6261</f>
        <v>-11017</v>
      </c>
      <c r="J319" t="s">
        <v>60</v>
      </c>
      <c r="K319" t="s">
        <v>65</v>
      </c>
    </row>
    <row r="320" spans="1:11">
      <c r="A320" t="s">
        <v>371</v>
      </c>
      <c r="B320" t="s">
        <v>828</v>
      </c>
      <c r="C320" t="s">
        <v>925</v>
      </c>
      <c r="D320" s="1">
        <v>30</v>
      </c>
      <c r="E320" t="s">
        <v>48</v>
      </c>
      <c r="F320" t="s">
        <v>1055</v>
      </c>
      <c r="G320" t="s">
        <v>1558</v>
      </c>
      <c r="H320" t="s">
        <v>1559</v>
      </c>
      <c r="I320" t="s">
        <v>1560</v>
      </c>
      <c r="J320" t="s">
        <v>58</v>
      </c>
      <c r="K320" t="s">
        <v>64</v>
      </c>
    </row>
    <row r="321" spans="1:11">
      <c r="A321" t="s">
        <v>372</v>
      </c>
      <c r="B321" t="s">
        <v>829</v>
      </c>
      <c r="C321" t="s">
        <v>43</v>
      </c>
      <c r="D321" s="1">
        <v>45</v>
      </c>
      <c r="E321">
        <v>8000</v>
      </c>
      <c r="F321">
        <v>750</v>
      </c>
      <c r="G321" s="5">
        <v>43984</v>
      </c>
      <c r="H321" t="s">
        <v>1561</v>
      </c>
      <c r="I321" t="s">
        <v>1562</v>
      </c>
      <c r="J321" t="s">
        <v>48</v>
      </c>
    </row>
    <row r="322" spans="1:11">
      <c r="A322" t="s">
        <v>373</v>
      </c>
      <c r="B322" t="s">
        <v>830</v>
      </c>
      <c r="C322" t="s">
        <v>933</v>
      </c>
      <c r="D322" s="1">
        <v>27</v>
      </c>
      <c r="E322">
        <v>5500</v>
      </c>
      <c r="F322" t="s">
        <v>962</v>
      </c>
      <c r="G322" s="5">
        <v>45021</v>
      </c>
      <c r="H322" t="s">
        <v>1563</v>
      </c>
      <c r="I322" t="s">
        <v>1564</v>
      </c>
      <c r="J322" t="s">
        <v>54</v>
      </c>
      <c r="K322" t="s">
        <v>63</v>
      </c>
    </row>
    <row r="323" spans="1:11">
      <c r="A323" t="s">
        <v>374</v>
      </c>
      <c r="B323" t="s">
        <v>33</v>
      </c>
      <c r="C323" t="s">
        <v>37</v>
      </c>
      <c r="D323" s="1" t="s">
        <v>50</v>
      </c>
      <c r="E323">
        <v>7500</v>
      </c>
      <c r="F323">
        <v>-200</v>
      </c>
      <c r="G323" t="s">
        <v>1565</v>
      </c>
      <c r="H323" t="s">
        <v>1566</v>
      </c>
      <c r="I323" t="s">
        <v>1567</v>
      </c>
      <c r="J323" t="s">
        <v>48</v>
      </c>
      <c r="K323" t="s">
        <v>50</v>
      </c>
    </row>
    <row r="324" spans="1:11">
      <c r="A324" t="s">
        <v>375</v>
      </c>
      <c r="B324" t="s">
        <v>831</v>
      </c>
      <c r="C324" t="s">
        <v>38</v>
      </c>
      <c r="D324" s="1">
        <v>34</v>
      </c>
      <c r="E324" t="s">
        <v>50</v>
      </c>
      <c r="F324" t="s">
        <v>33</v>
      </c>
      <c r="G324" t="s">
        <v>1568</v>
      </c>
      <c r="H324" t="s">
        <v>1569</v>
      </c>
      <c r="I324" t="s">
        <v>1570</v>
      </c>
      <c r="J324" t="s">
        <v>50</v>
      </c>
      <c r="K324" t="s">
        <v>967</v>
      </c>
    </row>
    <row r="325" spans="1:11">
      <c r="A325" t="s">
        <v>376</v>
      </c>
      <c r="B325" t="s">
        <v>832</v>
      </c>
      <c r="C325" t="s">
        <v>47</v>
      </c>
      <c r="D325" s="1" t="s">
        <v>48</v>
      </c>
      <c r="E325">
        <v>6500</v>
      </c>
      <c r="F325">
        <v>250</v>
      </c>
      <c r="G325" s="5">
        <v>44364</v>
      </c>
      <c r="H325" t="s">
        <v>1571</v>
      </c>
      <c r="I325">
        <v>78411507</v>
      </c>
      <c r="J325" t="s">
        <v>50</v>
      </c>
      <c r="K325" t="s">
        <v>63</v>
      </c>
    </row>
    <row r="326" spans="1:11">
      <c r="A326" t="s">
        <v>377</v>
      </c>
      <c r="B326" t="s">
        <v>637</v>
      </c>
      <c r="C326" t="s">
        <v>928</v>
      </c>
      <c r="D326" s="1">
        <v>175</v>
      </c>
      <c r="E326" t="s">
        <v>48</v>
      </c>
      <c r="F326" t="s">
        <v>33</v>
      </c>
      <c r="G326" s="5">
        <v>44006</v>
      </c>
      <c r="H326" t="s">
        <v>1572</v>
      </c>
      <c r="I326" t="s">
        <v>1573</v>
      </c>
      <c r="K326" t="s">
        <v>66</v>
      </c>
    </row>
    <row r="327" spans="1:11">
      <c r="A327" t="s">
        <v>378</v>
      </c>
      <c r="B327" t="s">
        <v>833</v>
      </c>
      <c r="C327" t="s">
        <v>925</v>
      </c>
      <c r="D327" s="1">
        <v>26</v>
      </c>
      <c r="E327">
        <v>9500</v>
      </c>
      <c r="F327" s="2">
        <v>1000</v>
      </c>
      <c r="G327" s="5">
        <v>44502</v>
      </c>
      <c r="H327" t="s">
        <v>1574</v>
      </c>
      <c r="I327">
        <f>974-7898-3252</f>
        <v>-10176</v>
      </c>
      <c r="J327" t="s">
        <v>961</v>
      </c>
      <c r="K327" t="s">
        <v>68</v>
      </c>
    </row>
    <row r="328" spans="1:11">
      <c r="A328" t="s">
        <v>379</v>
      </c>
      <c r="B328" t="s">
        <v>686</v>
      </c>
      <c r="C328" t="s">
        <v>35</v>
      </c>
      <c r="D328" s="1">
        <v>41</v>
      </c>
      <c r="E328">
        <v>4800</v>
      </c>
      <c r="F328" t="s">
        <v>48</v>
      </c>
      <c r="G328" t="s">
        <v>1575</v>
      </c>
      <c r="H328" t="s">
        <v>1576</v>
      </c>
      <c r="I328">
        <f>974-6757-6707</f>
        <v>-12490</v>
      </c>
      <c r="J328" t="s">
        <v>55</v>
      </c>
      <c r="K328" t="s">
        <v>62</v>
      </c>
    </row>
    <row r="329" spans="1:11">
      <c r="A329" t="s">
        <v>380</v>
      </c>
      <c r="B329" t="s">
        <v>834</v>
      </c>
      <c r="C329" t="s">
        <v>43</v>
      </c>
      <c r="D329" s="1">
        <v>22</v>
      </c>
      <c r="E329">
        <v>6250</v>
      </c>
      <c r="F329" t="s">
        <v>33</v>
      </c>
      <c r="G329" t="s">
        <v>1577</v>
      </c>
      <c r="H329" t="s">
        <v>1578</v>
      </c>
      <c r="I329">
        <v>79028490</v>
      </c>
      <c r="K329" t="s">
        <v>50</v>
      </c>
    </row>
    <row r="330" spans="1:11">
      <c r="A330" t="s">
        <v>381</v>
      </c>
      <c r="B330" t="s">
        <v>835</v>
      </c>
      <c r="C330" t="s">
        <v>933</v>
      </c>
      <c r="D330" s="1" t="s">
        <v>948</v>
      </c>
      <c r="E330">
        <v>-750</v>
      </c>
      <c r="F330">
        <v>500</v>
      </c>
      <c r="G330" s="5">
        <v>44318</v>
      </c>
      <c r="H330" t="s">
        <v>1579</v>
      </c>
      <c r="I330" t="s">
        <v>1580</v>
      </c>
      <c r="K330" t="s">
        <v>64</v>
      </c>
    </row>
    <row r="331" spans="1:11">
      <c r="A331" t="s">
        <v>382</v>
      </c>
      <c r="B331" t="s">
        <v>656</v>
      </c>
      <c r="C331" t="s">
        <v>38</v>
      </c>
      <c r="D331" s="1">
        <v>37</v>
      </c>
      <c r="E331" t="s">
        <v>50</v>
      </c>
      <c r="F331">
        <v>-200</v>
      </c>
      <c r="G331" s="5">
        <v>44806</v>
      </c>
      <c r="H331" t="s">
        <v>1186</v>
      </c>
      <c r="I331">
        <v>34118386</v>
      </c>
      <c r="J331" t="s">
        <v>999</v>
      </c>
      <c r="K331" t="s">
        <v>67</v>
      </c>
    </row>
    <row r="332" spans="1:11">
      <c r="A332" t="s">
        <v>383</v>
      </c>
      <c r="B332" t="s">
        <v>702</v>
      </c>
      <c r="C332" t="s">
        <v>42</v>
      </c>
      <c r="D332" s="1" t="s">
        <v>48</v>
      </c>
      <c r="E332">
        <v>5500</v>
      </c>
      <c r="F332">
        <v>0</v>
      </c>
      <c r="G332" t="s">
        <v>1581</v>
      </c>
      <c r="H332" t="s">
        <v>1582</v>
      </c>
      <c r="I332">
        <v>65753074</v>
      </c>
      <c r="J332" t="s">
        <v>999</v>
      </c>
      <c r="K332" t="s">
        <v>67</v>
      </c>
    </row>
    <row r="333" spans="1:11">
      <c r="A333" t="s">
        <v>384</v>
      </c>
      <c r="B333" t="s">
        <v>671</v>
      </c>
      <c r="C333" t="s">
        <v>928</v>
      </c>
      <c r="D333" s="1">
        <v>33</v>
      </c>
      <c r="E333">
        <v>7200</v>
      </c>
      <c r="F333">
        <v>750</v>
      </c>
      <c r="G333" s="5">
        <v>43482</v>
      </c>
      <c r="H333" t="s">
        <v>1583</v>
      </c>
      <c r="I333">
        <v>36442559</v>
      </c>
      <c r="J333" t="s">
        <v>1017</v>
      </c>
      <c r="K333" t="s">
        <v>63</v>
      </c>
    </row>
    <row r="334" spans="1:11">
      <c r="A334" t="s">
        <v>385</v>
      </c>
      <c r="B334" t="s">
        <v>33</v>
      </c>
      <c r="C334" t="s">
        <v>45</v>
      </c>
      <c r="D334" s="1">
        <v>29</v>
      </c>
      <c r="E334" t="s">
        <v>48</v>
      </c>
      <c r="F334">
        <v>250</v>
      </c>
      <c r="G334" t="s">
        <v>1584</v>
      </c>
      <c r="H334" t="s">
        <v>1585</v>
      </c>
      <c r="I334" t="s">
        <v>1586</v>
      </c>
      <c r="J334" t="s">
        <v>58</v>
      </c>
      <c r="K334" t="s">
        <v>62</v>
      </c>
    </row>
    <row r="335" spans="1:11">
      <c r="A335" t="s">
        <v>386</v>
      </c>
      <c r="B335" t="s">
        <v>836</v>
      </c>
      <c r="C335" t="s">
        <v>925</v>
      </c>
      <c r="D335" s="1" t="s">
        <v>50</v>
      </c>
      <c r="E335">
        <v>8250</v>
      </c>
      <c r="G335" t="s">
        <v>1587</v>
      </c>
      <c r="H335" t="s">
        <v>1588</v>
      </c>
      <c r="I335" t="s">
        <v>970</v>
      </c>
      <c r="J335" t="s">
        <v>1017</v>
      </c>
    </row>
    <row r="336" spans="1:11">
      <c r="A336" t="s">
        <v>387</v>
      </c>
      <c r="B336" t="s">
        <v>837</v>
      </c>
      <c r="C336" t="s">
        <v>35</v>
      </c>
      <c r="D336" s="1">
        <v>44</v>
      </c>
      <c r="E336">
        <v>6200</v>
      </c>
      <c r="F336">
        <v>250</v>
      </c>
      <c r="G336" t="s">
        <v>1589</v>
      </c>
      <c r="H336" t="s">
        <v>1590</v>
      </c>
      <c r="I336" t="s">
        <v>1591</v>
      </c>
      <c r="J336" t="s">
        <v>999</v>
      </c>
      <c r="K336" t="s">
        <v>67</v>
      </c>
    </row>
    <row r="337" spans="1:11">
      <c r="A337" t="s">
        <v>388</v>
      </c>
      <c r="B337" t="s">
        <v>694</v>
      </c>
      <c r="C337" t="s">
        <v>39</v>
      </c>
      <c r="D337" s="1">
        <v>19</v>
      </c>
      <c r="E337">
        <v>4500</v>
      </c>
      <c r="F337">
        <v>750</v>
      </c>
      <c r="G337" t="s">
        <v>1592</v>
      </c>
      <c r="H337" t="s">
        <v>1593</v>
      </c>
      <c r="I337" t="s">
        <v>1594</v>
      </c>
      <c r="J337" t="s">
        <v>48</v>
      </c>
      <c r="K337" t="s">
        <v>61</v>
      </c>
    </row>
    <row r="338" spans="1:11">
      <c r="A338" t="s">
        <v>389</v>
      </c>
      <c r="B338" t="s">
        <v>646</v>
      </c>
      <c r="C338" t="s">
        <v>933</v>
      </c>
      <c r="D338" s="1" t="s">
        <v>48</v>
      </c>
      <c r="E338" t="s">
        <v>50</v>
      </c>
      <c r="F338">
        <v>500</v>
      </c>
      <c r="G338" t="s">
        <v>1595</v>
      </c>
      <c r="H338" t="s">
        <v>1596</v>
      </c>
      <c r="I338" t="s">
        <v>1597</v>
      </c>
      <c r="J338" t="s">
        <v>54</v>
      </c>
    </row>
    <row r="339" spans="1:11">
      <c r="A339" t="s">
        <v>390</v>
      </c>
      <c r="B339" t="s">
        <v>838</v>
      </c>
      <c r="C339" t="s">
        <v>38</v>
      </c>
      <c r="D339" s="1">
        <v>36</v>
      </c>
      <c r="E339">
        <v>7000</v>
      </c>
      <c r="F339">
        <v>1250</v>
      </c>
      <c r="G339" s="5">
        <v>44532</v>
      </c>
      <c r="H339" t="s">
        <v>1598</v>
      </c>
      <c r="I339">
        <f>974-6012-1457</f>
        <v>-6495</v>
      </c>
      <c r="K339" t="s">
        <v>61</v>
      </c>
    </row>
    <row r="340" spans="1:11">
      <c r="A340" t="s">
        <v>391</v>
      </c>
      <c r="B340" t="s">
        <v>839</v>
      </c>
      <c r="C340" t="s">
        <v>928</v>
      </c>
      <c r="D340" s="1">
        <v>31</v>
      </c>
      <c r="E340">
        <v>6800</v>
      </c>
      <c r="G340" t="s">
        <v>1599</v>
      </c>
      <c r="H340" t="s">
        <v>1600</v>
      </c>
      <c r="I340">
        <v>50104092</v>
      </c>
      <c r="J340" t="s">
        <v>977</v>
      </c>
    </row>
    <row r="341" spans="1:11">
      <c r="A341" t="s">
        <v>392</v>
      </c>
      <c r="B341" t="s">
        <v>840</v>
      </c>
      <c r="C341" t="s">
        <v>43</v>
      </c>
      <c r="D341" s="1">
        <v>-2</v>
      </c>
      <c r="E341" t="s">
        <v>48</v>
      </c>
      <c r="F341">
        <v>-50</v>
      </c>
      <c r="G341" t="s">
        <v>1601</v>
      </c>
      <c r="H341" t="s">
        <v>1602</v>
      </c>
      <c r="I341" t="s">
        <v>1603</v>
      </c>
      <c r="J341" t="s">
        <v>56</v>
      </c>
      <c r="K341" t="s">
        <v>62</v>
      </c>
    </row>
    <row r="342" spans="1:11">
      <c r="A342" t="s">
        <v>393</v>
      </c>
      <c r="B342" t="s">
        <v>655</v>
      </c>
      <c r="C342" t="s">
        <v>37</v>
      </c>
      <c r="D342" s="1">
        <v>40</v>
      </c>
      <c r="E342">
        <v>5200</v>
      </c>
      <c r="G342" t="s">
        <v>978</v>
      </c>
      <c r="H342" t="s">
        <v>1604</v>
      </c>
      <c r="I342" t="s">
        <v>1605</v>
      </c>
      <c r="J342" t="s">
        <v>60</v>
      </c>
      <c r="K342" t="s">
        <v>67</v>
      </c>
    </row>
    <row r="343" spans="1:11">
      <c r="A343" t="s">
        <v>394</v>
      </c>
      <c r="B343" t="s">
        <v>674</v>
      </c>
      <c r="C343" t="s">
        <v>925</v>
      </c>
      <c r="D343" s="1">
        <v>25</v>
      </c>
      <c r="E343">
        <v>9000</v>
      </c>
      <c r="F343">
        <v>1000</v>
      </c>
      <c r="G343" s="5">
        <v>44848</v>
      </c>
      <c r="H343" t="s">
        <v>1606</v>
      </c>
      <c r="I343">
        <f>974-6844-1087</f>
        <v>-6957</v>
      </c>
      <c r="K343" t="s">
        <v>68</v>
      </c>
    </row>
    <row r="344" spans="1:11">
      <c r="A344" t="s">
        <v>395</v>
      </c>
      <c r="B344" t="s">
        <v>841</v>
      </c>
      <c r="C344" t="s">
        <v>933</v>
      </c>
      <c r="D344" s="1" t="s">
        <v>50</v>
      </c>
      <c r="E344">
        <v>6500</v>
      </c>
      <c r="F344" t="s">
        <v>1157</v>
      </c>
      <c r="G344" s="5">
        <v>45504</v>
      </c>
      <c r="H344" t="s">
        <v>1607</v>
      </c>
      <c r="I344">
        <f>974-6536-4904</f>
        <v>-10466</v>
      </c>
      <c r="J344" t="s">
        <v>54</v>
      </c>
      <c r="K344" t="s">
        <v>68</v>
      </c>
    </row>
    <row r="345" spans="1:11">
      <c r="A345" t="s">
        <v>396</v>
      </c>
      <c r="B345" t="s">
        <v>33</v>
      </c>
      <c r="C345" t="s">
        <v>35</v>
      </c>
      <c r="D345" s="1" t="s">
        <v>48</v>
      </c>
      <c r="E345" t="s">
        <v>50</v>
      </c>
      <c r="F345">
        <v>500</v>
      </c>
      <c r="G345" t="s">
        <v>1608</v>
      </c>
      <c r="H345" t="s">
        <v>1609</v>
      </c>
      <c r="I345" t="s">
        <v>1610</v>
      </c>
      <c r="J345" t="s">
        <v>999</v>
      </c>
      <c r="K345" t="s">
        <v>48</v>
      </c>
    </row>
    <row r="346" spans="1:11">
      <c r="A346" t="s">
        <v>397</v>
      </c>
      <c r="B346" t="s">
        <v>842</v>
      </c>
      <c r="C346" t="s">
        <v>47</v>
      </c>
      <c r="D346" s="1">
        <v>43</v>
      </c>
      <c r="E346">
        <v>5250</v>
      </c>
      <c r="G346" s="5">
        <v>45170</v>
      </c>
      <c r="H346" t="s">
        <v>1611</v>
      </c>
      <c r="I346" t="s">
        <v>1612</v>
      </c>
      <c r="J346" t="s">
        <v>1017</v>
      </c>
      <c r="K346" t="s">
        <v>66</v>
      </c>
    </row>
    <row r="347" spans="1:11">
      <c r="A347" t="s">
        <v>398</v>
      </c>
      <c r="B347" t="s">
        <v>639</v>
      </c>
      <c r="C347" t="s">
        <v>928</v>
      </c>
      <c r="D347" s="1">
        <v>28</v>
      </c>
      <c r="E347">
        <v>8000</v>
      </c>
      <c r="F347">
        <v>0</v>
      </c>
      <c r="G347" s="5">
        <v>44192</v>
      </c>
      <c r="H347" t="s">
        <v>1052</v>
      </c>
      <c r="I347" t="s">
        <v>1613</v>
      </c>
      <c r="J347" t="s">
        <v>50</v>
      </c>
      <c r="K347" t="s">
        <v>50</v>
      </c>
    </row>
    <row r="348" spans="1:11">
      <c r="A348" t="s">
        <v>399</v>
      </c>
      <c r="B348" t="s">
        <v>843</v>
      </c>
      <c r="C348" t="s">
        <v>43</v>
      </c>
      <c r="D348" s="1">
        <v>35</v>
      </c>
      <c r="E348">
        <v>-3000</v>
      </c>
      <c r="F348">
        <v>1000</v>
      </c>
      <c r="G348" s="5">
        <v>44323</v>
      </c>
      <c r="H348" t="s">
        <v>1151</v>
      </c>
      <c r="I348" t="s">
        <v>1614</v>
      </c>
      <c r="J348" t="s">
        <v>977</v>
      </c>
      <c r="K348" t="s">
        <v>66</v>
      </c>
    </row>
    <row r="349" spans="1:11">
      <c r="A349" t="s">
        <v>400</v>
      </c>
      <c r="B349" t="s">
        <v>844</v>
      </c>
      <c r="C349" t="s">
        <v>38</v>
      </c>
      <c r="D349" s="1">
        <v>155</v>
      </c>
      <c r="E349" t="s">
        <v>48</v>
      </c>
      <c r="F349">
        <v>-50</v>
      </c>
      <c r="G349" s="5">
        <v>45390</v>
      </c>
      <c r="H349" t="s">
        <v>1615</v>
      </c>
      <c r="I349">
        <v>37195965</v>
      </c>
      <c r="J349" t="s">
        <v>57</v>
      </c>
      <c r="K349" t="s">
        <v>48</v>
      </c>
    </row>
    <row r="350" spans="1:11">
      <c r="A350" t="s">
        <v>401</v>
      </c>
      <c r="B350" t="s">
        <v>845</v>
      </c>
      <c r="C350" t="s">
        <v>925</v>
      </c>
      <c r="D350" s="1">
        <v>24</v>
      </c>
      <c r="E350">
        <v>7200</v>
      </c>
      <c r="F350" t="s">
        <v>48</v>
      </c>
      <c r="G350" t="s">
        <v>1616</v>
      </c>
      <c r="H350" t="s">
        <v>1617</v>
      </c>
      <c r="J350" t="s">
        <v>977</v>
      </c>
      <c r="K350" t="s">
        <v>68</v>
      </c>
    </row>
    <row r="351" spans="1:11">
      <c r="A351" t="s">
        <v>402</v>
      </c>
      <c r="B351" t="s">
        <v>846</v>
      </c>
      <c r="C351" t="s">
        <v>42</v>
      </c>
      <c r="D351" s="1">
        <v>42</v>
      </c>
      <c r="E351">
        <v>5500</v>
      </c>
      <c r="F351" t="s">
        <v>958</v>
      </c>
      <c r="G351" t="s">
        <v>1618</v>
      </c>
      <c r="H351" t="s">
        <v>1619</v>
      </c>
      <c r="I351" t="s">
        <v>50</v>
      </c>
      <c r="J351" t="s">
        <v>977</v>
      </c>
      <c r="K351" t="s">
        <v>61</v>
      </c>
    </row>
    <row r="352" spans="1:11">
      <c r="A352" t="s">
        <v>403</v>
      </c>
      <c r="B352" t="s">
        <v>847</v>
      </c>
      <c r="C352" t="s">
        <v>35</v>
      </c>
      <c r="D352" s="1" t="s">
        <v>50</v>
      </c>
      <c r="E352">
        <v>6500</v>
      </c>
      <c r="F352" t="s">
        <v>1157</v>
      </c>
      <c r="G352" t="s">
        <v>1620</v>
      </c>
      <c r="H352" t="s">
        <v>1621</v>
      </c>
      <c r="I352">
        <v>50079469</v>
      </c>
      <c r="J352" t="s">
        <v>977</v>
      </c>
      <c r="K352" t="s">
        <v>67</v>
      </c>
    </row>
    <row r="353" spans="1:11">
      <c r="A353" t="s">
        <v>404</v>
      </c>
      <c r="B353" t="s">
        <v>554</v>
      </c>
      <c r="C353" t="s">
        <v>928</v>
      </c>
      <c r="D353" s="1">
        <v>30</v>
      </c>
      <c r="E353" t="s">
        <v>50</v>
      </c>
      <c r="F353">
        <v>1000</v>
      </c>
      <c r="G353" t="s">
        <v>51</v>
      </c>
      <c r="I353" t="s">
        <v>1622</v>
      </c>
      <c r="J353" t="s">
        <v>977</v>
      </c>
      <c r="K353" t="s">
        <v>50</v>
      </c>
    </row>
    <row r="354" spans="1:11">
      <c r="A354" t="s">
        <v>405</v>
      </c>
      <c r="B354" t="s">
        <v>848</v>
      </c>
      <c r="C354" t="s">
        <v>43</v>
      </c>
      <c r="D354" s="1" t="s">
        <v>48</v>
      </c>
      <c r="E354">
        <v>9000</v>
      </c>
      <c r="F354">
        <v>750</v>
      </c>
      <c r="G354" t="s">
        <v>1623</v>
      </c>
      <c r="H354" t="s">
        <v>1624</v>
      </c>
      <c r="I354" t="s">
        <v>1625</v>
      </c>
      <c r="J354" t="s">
        <v>50</v>
      </c>
      <c r="K354" t="s">
        <v>50</v>
      </c>
    </row>
    <row r="355" spans="1:11">
      <c r="A355" t="s">
        <v>406</v>
      </c>
      <c r="B355" t="s">
        <v>709</v>
      </c>
      <c r="C355" t="s">
        <v>933</v>
      </c>
      <c r="D355" s="1" t="s">
        <v>956</v>
      </c>
      <c r="E355">
        <v>4800</v>
      </c>
      <c r="G355" s="5">
        <v>44317</v>
      </c>
      <c r="H355" t="s">
        <v>1626</v>
      </c>
      <c r="I355">
        <v>123</v>
      </c>
      <c r="J355" t="s">
        <v>977</v>
      </c>
      <c r="K355" t="s">
        <v>50</v>
      </c>
    </row>
    <row r="356" spans="1:11">
      <c r="A356" t="s">
        <v>407</v>
      </c>
      <c r="B356" t="s">
        <v>33</v>
      </c>
      <c r="C356" t="s">
        <v>39</v>
      </c>
      <c r="D356" s="1">
        <v>39</v>
      </c>
      <c r="E356" t="s">
        <v>48</v>
      </c>
      <c r="F356">
        <v>500</v>
      </c>
      <c r="G356" s="5">
        <v>43862</v>
      </c>
      <c r="H356" t="s">
        <v>50</v>
      </c>
      <c r="I356" t="s">
        <v>1627</v>
      </c>
      <c r="J356" t="s">
        <v>999</v>
      </c>
      <c r="K356" t="s">
        <v>64</v>
      </c>
    </row>
    <row r="357" spans="1:11">
      <c r="A357" t="s">
        <v>408</v>
      </c>
      <c r="B357" t="s">
        <v>849</v>
      </c>
      <c r="C357" t="s">
        <v>38</v>
      </c>
      <c r="D357" s="1">
        <v>27</v>
      </c>
      <c r="E357">
        <v>8500</v>
      </c>
      <c r="F357" t="s">
        <v>48</v>
      </c>
      <c r="G357" t="s">
        <v>1628</v>
      </c>
      <c r="H357" t="s">
        <v>1629</v>
      </c>
      <c r="I357" t="s">
        <v>1630</v>
      </c>
      <c r="J357" t="s">
        <v>58</v>
      </c>
      <c r="K357" t="s">
        <v>967</v>
      </c>
    </row>
    <row r="358" spans="1:11">
      <c r="A358" t="s">
        <v>409</v>
      </c>
      <c r="B358" t="s">
        <v>850</v>
      </c>
      <c r="C358" t="s">
        <v>925</v>
      </c>
      <c r="D358" s="1">
        <v>46</v>
      </c>
      <c r="E358">
        <v>6200</v>
      </c>
      <c r="F358" t="s">
        <v>33</v>
      </c>
      <c r="G358" t="s">
        <v>1631</v>
      </c>
      <c r="H358" t="s">
        <v>1632</v>
      </c>
      <c r="I358" t="s">
        <v>1633</v>
      </c>
      <c r="J358" t="s">
        <v>50</v>
      </c>
    </row>
    <row r="359" spans="1:11">
      <c r="A359" t="s">
        <v>410</v>
      </c>
      <c r="B359" t="s">
        <v>34</v>
      </c>
      <c r="C359" t="s">
        <v>37</v>
      </c>
      <c r="D359" s="1">
        <v>32</v>
      </c>
      <c r="E359">
        <v>5750</v>
      </c>
      <c r="F359" t="s">
        <v>958</v>
      </c>
      <c r="H359" t="s">
        <v>1634</v>
      </c>
      <c r="I359">
        <v>51814301</v>
      </c>
      <c r="J359" t="s">
        <v>50</v>
      </c>
      <c r="K359" t="s">
        <v>65</v>
      </c>
    </row>
    <row r="360" spans="1:11">
      <c r="A360" t="s">
        <v>411</v>
      </c>
      <c r="B360" t="s">
        <v>851</v>
      </c>
      <c r="C360" t="s">
        <v>928</v>
      </c>
      <c r="D360" s="1" t="s">
        <v>48</v>
      </c>
      <c r="E360" t="s">
        <v>50</v>
      </c>
      <c r="F360" t="s">
        <v>1014</v>
      </c>
      <c r="G360" s="5">
        <v>44783</v>
      </c>
      <c r="H360" t="s">
        <v>1635</v>
      </c>
      <c r="I360" t="s">
        <v>1636</v>
      </c>
      <c r="J360" t="s">
        <v>54</v>
      </c>
    </row>
    <row r="361" spans="1:11">
      <c r="A361" t="s">
        <v>412</v>
      </c>
      <c r="B361" t="s">
        <v>852</v>
      </c>
      <c r="C361" t="s">
        <v>43</v>
      </c>
      <c r="D361" s="1">
        <v>41</v>
      </c>
      <c r="E361">
        <v>7000</v>
      </c>
      <c r="G361" s="5">
        <v>45447</v>
      </c>
      <c r="H361" t="s">
        <v>1637</v>
      </c>
      <c r="I361" t="s">
        <v>1638</v>
      </c>
      <c r="J361" t="s">
        <v>961</v>
      </c>
      <c r="K361" t="s">
        <v>50</v>
      </c>
    </row>
    <row r="362" spans="1:11">
      <c r="A362" t="s">
        <v>413</v>
      </c>
      <c r="B362" t="s">
        <v>853</v>
      </c>
      <c r="C362" t="s">
        <v>933</v>
      </c>
      <c r="D362" s="1">
        <v>23</v>
      </c>
      <c r="E362" t="s">
        <v>48</v>
      </c>
      <c r="F362">
        <v>500</v>
      </c>
      <c r="G362" t="s">
        <v>1137</v>
      </c>
      <c r="H362" t="s">
        <v>1639</v>
      </c>
      <c r="I362">
        <v>97463489342</v>
      </c>
      <c r="J362" t="s">
        <v>59</v>
      </c>
      <c r="K362" t="s">
        <v>48</v>
      </c>
    </row>
    <row r="363" spans="1:11">
      <c r="A363" t="s">
        <v>414</v>
      </c>
      <c r="B363" t="s">
        <v>748</v>
      </c>
      <c r="C363" t="s">
        <v>38</v>
      </c>
      <c r="D363" s="1" t="s">
        <v>50</v>
      </c>
      <c r="E363">
        <v>6000</v>
      </c>
      <c r="G363" t="s">
        <v>1640</v>
      </c>
      <c r="H363" t="s">
        <v>1059</v>
      </c>
      <c r="I363">
        <f>974-4293-8360</f>
        <v>-11679</v>
      </c>
      <c r="J363" t="s">
        <v>999</v>
      </c>
      <c r="K363" t="s">
        <v>63</v>
      </c>
    </row>
    <row r="364" spans="1:11">
      <c r="A364" t="s">
        <v>415</v>
      </c>
      <c r="B364" t="s">
        <v>854</v>
      </c>
      <c r="C364" t="s">
        <v>35</v>
      </c>
      <c r="D364" s="1">
        <v>36</v>
      </c>
      <c r="E364">
        <v>4500</v>
      </c>
      <c r="F364">
        <v>750</v>
      </c>
      <c r="G364" t="s">
        <v>1641</v>
      </c>
      <c r="H364" t="s">
        <v>1642</v>
      </c>
      <c r="I364">
        <v>97469366785</v>
      </c>
      <c r="J364" t="s">
        <v>58</v>
      </c>
      <c r="K364" t="s">
        <v>64</v>
      </c>
    </row>
    <row r="365" spans="1:11">
      <c r="A365" t="s">
        <v>416</v>
      </c>
      <c r="B365" t="s">
        <v>855</v>
      </c>
      <c r="C365" t="s">
        <v>925</v>
      </c>
      <c r="D365" s="1">
        <v>18</v>
      </c>
      <c r="E365">
        <v>9250</v>
      </c>
      <c r="F365" t="s">
        <v>1157</v>
      </c>
      <c r="G365" s="5">
        <v>45135</v>
      </c>
      <c r="H365" t="s">
        <v>1643</v>
      </c>
      <c r="I365" t="s">
        <v>1644</v>
      </c>
      <c r="J365" t="s">
        <v>999</v>
      </c>
      <c r="K365" t="s">
        <v>48</v>
      </c>
    </row>
    <row r="366" spans="1:11">
      <c r="A366" t="s">
        <v>417</v>
      </c>
      <c r="B366" t="s">
        <v>589</v>
      </c>
      <c r="C366" t="s">
        <v>47</v>
      </c>
      <c r="D366" s="1">
        <v>-10</v>
      </c>
      <c r="E366" t="s">
        <v>50</v>
      </c>
      <c r="F366">
        <v>500</v>
      </c>
      <c r="G366" s="5">
        <v>44450</v>
      </c>
      <c r="H366" t="s">
        <v>1645</v>
      </c>
      <c r="I366">
        <v>39452418</v>
      </c>
      <c r="J366" t="s">
        <v>54</v>
      </c>
      <c r="K366" t="s">
        <v>64</v>
      </c>
    </row>
    <row r="367" spans="1:11">
      <c r="A367" t="s">
        <v>418</v>
      </c>
      <c r="B367" t="s">
        <v>33</v>
      </c>
      <c r="C367" t="s">
        <v>928</v>
      </c>
      <c r="D367" s="1">
        <v>34</v>
      </c>
      <c r="E367">
        <v>6500</v>
      </c>
      <c r="F367">
        <v>250</v>
      </c>
      <c r="G367" t="s">
        <v>1646</v>
      </c>
      <c r="H367" t="s">
        <v>1647</v>
      </c>
      <c r="I367" t="s">
        <v>1648</v>
      </c>
      <c r="J367" t="s">
        <v>59</v>
      </c>
      <c r="K367" t="s">
        <v>48</v>
      </c>
    </row>
    <row r="368" spans="1:11">
      <c r="A368" t="s">
        <v>419</v>
      </c>
      <c r="B368" t="s">
        <v>856</v>
      </c>
      <c r="C368" t="s">
        <v>45</v>
      </c>
      <c r="D368" s="1">
        <v>29</v>
      </c>
      <c r="E368">
        <v>7500</v>
      </c>
      <c r="F368">
        <v>750</v>
      </c>
      <c r="G368" s="5">
        <v>43681</v>
      </c>
      <c r="H368" t="s">
        <v>1649</v>
      </c>
      <c r="I368" t="s">
        <v>1650</v>
      </c>
      <c r="J368" t="s">
        <v>999</v>
      </c>
    </row>
    <row r="369" spans="1:11">
      <c r="A369" t="s">
        <v>420</v>
      </c>
      <c r="B369" t="s">
        <v>707</v>
      </c>
      <c r="C369" t="s">
        <v>42</v>
      </c>
      <c r="D369" s="1" t="s">
        <v>48</v>
      </c>
      <c r="E369" t="s">
        <v>48</v>
      </c>
      <c r="F369" t="s">
        <v>1157</v>
      </c>
      <c r="G369" s="5">
        <v>43943</v>
      </c>
      <c r="H369" t="s">
        <v>1651</v>
      </c>
      <c r="I369">
        <f>974-6537-3326</f>
        <v>-8889</v>
      </c>
      <c r="J369" t="s">
        <v>60</v>
      </c>
      <c r="K369" t="s">
        <v>66</v>
      </c>
    </row>
    <row r="370" spans="1:11">
      <c r="A370" t="s">
        <v>421</v>
      </c>
      <c r="B370" t="s">
        <v>857</v>
      </c>
      <c r="C370" t="s">
        <v>35</v>
      </c>
      <c r="D370" s="1">
        <v>47</v>
      </c>
      <c r="E370">
        <v>5200</v>
      </c>
      <c r="F370" t="s">
        <v>970</v>
      </c>
      <c r="G370" t="s">
        <v>1652</v>
      </c>
      <c r="H370" t="s">
        <v>1653</v>
      </c>
      <c r="J370" t="s">
        <v>50</v>
      </c>
      <c r="K370" t="s">
        <v>64</v>
      </c>
    </row>
    <row r="371" spans="1:11">
      <c r="A371" t="s">
        <v>422</v>
      </c>
      <c r="B371" t="s">
        <v>678</v>
      </c>
      <c r="C371" t="s">
        <v>933</v>
      </c>
      <c r="D371" s="1">
        <v>25</v>
      </c>
      <c r="E371">
        <v>8000</v>
      </c>
      <c r="F371" t="s">
        <v>33</v>
      </c>
      <c r="G371" s="5">
        <v>43479</v>
      </c>
      <c r="H371" t="s">
        <v>1654</v>
      </c>
      <c r="I371">
        <v>44041918</v>
      </c>
      <c r="J371" t="s">
        <v>50</v>
      </c>
      <c r="K371" t="s">
        <v>62</v>
      </c>
    </row>
    <row r="372" spans="1:11">
      <c r="A372" t="s">
        <v>423</v>
      </c>
      <c r="B372" t="s">
        <v>615</v>
      </c>
      <c r="C372" t="s">
        <v>38</v>
      </c>
      <c r="D372" s="1">
        <v>40</v>
      </c>
      <c r="E372">
        <v>-1000</v>
      </c>
      <c r="F372">
        <v>0</v>
      </c>
      <c r="G372" s="5">
        <v>45339</v>
      </c>
      <c r="H372" t="s">
        <v>1655</v>
      </c>
      <c r="I372" t="s">
        <v>1656</v>
      </c>
      <c r="J372" t="s">
        <v>50</v>
      </c>
      <c r="K372" t="s">
        <v>66</v>
      </c>
    </row>
    <row r="373" spans="1:11">
      <c r="A373" t="s">
        <v>424</v>
      </c>
      <c r="B373" t="s">
        <v>858</v>
      </c>
      <c r="C373" t="s">
        <v>43</v>
      </c>
      <c r="D373" s="1" t="s">
        <v>50</v>
      </c>
      <c r="E373" t="s">
        <v>50</v>
      </c>
      <c r="F373">
        <v>-200</v>
      </c>
      <c r="G373" t="s">
        <v>1657</v>
      </c>
      <c r="H373" t="s">
        <v>1658</v>
      </c>
      <c r="I373" t="s">
        <v>1659</v>
      </c>
      <c r="J373" t="s">
        <v>58</v>
      </c>
      <c r="K373" t="s">
        <v>967</v>
      </c>
    </row>
    <row r="374" spans="1:11">
      <c r="A374" t="s">
        <v>425</v>
      </c>
      <c r="B374" t="s">
        <v>612</v>
      </c>
      <c r="C374" t="s">
        <v>928</v>
      </c>
      <c r="D374" s="1">
        <v>33</v>
      </c>
      <c r="E374">
        <v>5500</v>
      </c>
      <c r="F374">
        <v>250</v>
      </c>
      <c r="G374" t="s">
        <v>48</v>
      </c>
      <c r="H374" t="s">
        <v>1660</v>
      </c>
      <c r="I374" t="s">
        <v>1018</v>
      </c>
      <c r="J374" t="s">
        <v>48</v>
      </c>
      <c r="K374" t="s">
        <v>50</v>
      </c>
    </row>
    <row r="375" spans="1:11">
      <c r="A375" t="s">
        <v>426</v>
      </c>
      <c r="B375" t="s">
        <v>632</v>
      </c>
      <c r="C375" t="s">
        <v>925</v>
      </c>
      <c r="D375" s="1" t="s">
        <v>48</v>
      </c>
      <c r="E375">
        <v>7200</v>
      </c>
      <c r="F375">
        <v>250</v>
      </c>
      <c r="G375" t="s">
        <v>1661</v>
      </c>
      <c r="H375" t="s">
        <v>1662</v>
      </c>
      <c r="I375">
        <f>974-6648-1959</f>
        <v>-7633</v>
      </c>
      <c r="J375" t="s">
        <v>56</v>
      </c>
      <c r="K375" t="s">
        <v>65</v>
      </c>
    </row>
    <row r="376" spans="1:11">
      <c r="A376" t="s">
        <v>427</v>
      </c>
      <c r="B376" t="s">
        <v>859</v>
      </c>
      <c r="C376" t="s">
        <v>37</v>
      </c>
      <c r="D376" s="1">
        <v>38</v>
      </c>
      <c r="E376" t="s">
        <v>48</v>
      </c>
      <c r="F376">
        <v>500</v>
      </c>
      <c r="G376" t="s">
        <v>1663</v>
      </c>
      <c r="H376" t="s">
        <v>1664</v>
      </c>
      <c r="I376">
        <v>46333602</v>
      </c>
      <c r="J376" t="s">
        <v>48</v>
      </c>
      <c r="K376" t="s">
        <v>66</v>
      </c>
    </row>
    <row r="377" spans="1:11">
      <c r="A377" t="s">
        <v>428</v>
      </c>
      <c r="B377" t="s">
        <v>860</v>
      </c>
      <c r="C377" t="s">
        <v>39</v>
      </c>
      <c r="D377" s="1">
        <v>21</v>
      </c>
      <c r="E377">
        <v>6750</v>
      </c>
      <c r="F377">
        <v>500</v>
      </c>
      <c r="G377" t="s">
        <v>1665</v>
      </c>
      <c r="H377" t="s">
        <v>1666</v>
      </c>
      <c r="I377" t="s">
        <v>1667</v>
      </c>
      <c r="J377" t="s">
        <v>55</v>
      </c>
      <c r="K377" t="s">
        <v>67</v>
      </c>
    </row>
    <row r="378" spans="1:11">
      <c r="A378" t="s">
        <v>429</v>
      </c>
      <c r="B378" t="s">
        <v>33</v>
      </c>
      <c r="C378" t="s">
        <v>933</v>
      </c>
      <c r="D378" s="1">
        <v>145</v>
      </c>
      <c r="E378">
        <v>4800</v>
      </c>
      <c r="F378" t="s">
        <v>48</v>
      </c>
      <c r="G378" s="5">
        <v>44100</v>
      </c>
      <c r="H378" t="s">
        <v>1668</v>
      </c>
      <c r="I378">
        <v>43081686</v>
      </c>
      <c r="J378" t="s">
        <v>60</v>
      </c>
    </row>
    <row r="379" spans="1:11">
      <c r="A379" t="s">
        <v>430</v>
      </c>
      <c r="B379" t="s">
        <v>861</v>
      </c>
      <c r="C379" t="s">
        <v>38</v>
      </c>
      <c r="D379" s="1">
        <v>31</v>
      </c>
      <c r="E379">
        <v>9000</v>
      </c>
      <c r="F379">
        <v>500</v>
      </c>
      <c r="G379" s="5">
        <v>45159</v>
      </c>
      <c r="H379" t="s">
        <v>1289</v>
      </c>
      <c r="I379" t="s">
        <v>1669</v>
      </c>
      <c r="J379" t="s">
        <v>58</v>
      </c>
      <c r="K379" t="s">
        <v>67</v>
      </c>
    </row>
    <row r="380" spans="1:11">
      <c r="A380" t="s">
        <v>431</v>
      </c>
      <c r="B380" t="s">
        <v>862</v>
      </c>
      <c r="C380" t="s">
        <v>35</v>
      </c>
      <c r="D380" s="1" t="s">
        <v>947</v>
      </c>
      <c r="E380" t="s">
        <v>50</v>
      </c>
      <c r="F380" t="s">
        <v>1003</v>
      </c>
      <c r="G380" t="s">
        <v>1670</v>
      </c>
      <c r="H380" t="s">
        <v>1671</v>
      </c>
      <c r="I380" t="s">
        <v>1672</v>
      </c>
      <c r="J380" t="s">
        <v>999</v>
      </c>
      <c r="K380" t="s">
        <v>967</v>
      </c>
    </row>
    <row r="381" spans="1:11">
      <c r="A381" t="s">
        <v>432</v>
      </c>
      <c r="B381" t="s">
        <v>733</v>
      </c>
      <c r="C381" t="s">
        <v>928</v>
      </c>
      <c r="D381" s="1">
        <v>44</v>
      </c>
      <c r="E381">
        <v>6200</v>
      </c>
      <c r="F381" t="s">
        <v>48</v>
      </c>
      <c r="G381" t="s">
        <v>1673</v>
      </c>
      <c r="H381" t="s">
        <v>1674</v>
      </c>
      <c r="I381" t="s">
        <v>1675</v>
      </c>
      <c r="J381" t="s">
        <v>48</v>
      </c>
      <c r="K381" t="s">
        <v>61</v>
      </c>
    </row>
    <row r="382" spans="1:11">
      <c r="A382" t="s">
        <v>433</v>
      </c>
      <c r="B382" t="s">
        <v>623</v>
      </c>
      <c r="C382" t="s">
        <v>43</v>
      </c>
      <c r="D382" s="1" t="s">
        <v>48</v>
      </c>
      <c r="E382">
        <v>4750</v>
      </c>
      <c r="F382">
        <v>750</v>
      </c>
      <c r="G382" t="s">
        <v>1049</v>
      </c>
      <c r="H382" t="s">
        <v>1676</v>
      </c>
      <c r="I382" t="s">
        <v>1677</v>
      </c>
      <c r="J382" t="s">
        <v>58</v>
      </c>
      <c r="K382" t="s">
        <v>68</v>
      </c>
    </row>
    <row r="383" spans="1:11">
      <c r="A383" t="s">
        <v>434</v>
      </c>
      <c r="B383" t="s">
        <v>619</v>
      </c>
      <c r="C383" t="s">
        <v>925</v>
      </c>
      <c r="D383" s="1">
        <v>30</v>
      </c>
      <c r="E383" t="s">
        <v>48</v>
      </c>
      <c r="F383">
        <v>250</v>
      </c>
      <c r="G383" s="5">
        <v>44114</v>
      </c>
      <c r="H383" t="s">
        <v>1678</v>
      </c>
      <c r="I383">
        <f>974-3182-5870</f>
        <v>-8078</v>
      </c>
      <c r="J383" t="s">
        <v>56</v>
      </c>
      <c r="K383" t="s">
        <v>967</v>
      </c>
    </row>
    <row r="384" spans="1:11">
      <c r="A384" t="s">
        <v>435</v>
      </c>
      <c r="B384" t="s">
        <v>863</v>
      </c>
      <c r="C384" t="s">
        <v>933</v>
      </c>
      <c r="D384" s="1">
        <v>26</v>
      </c>
      <c r="E384">
        <v>8200</v>
      </c>
      <c r="F384">
        <v>-50</v>
      </c>
      <c r="G384" s="5">
        <v>44904</v>
      </c>
      <c r="H384" t="s">
        <v>1018</v>
      </c>
      <c r="I384" t="s">
        <v>1679</v>
      </c>
      <c r="J384" t="s">
        <v>55</v>
      </c>
      <c r="K384" t="s">
        <v>66</v>
      </c>
    </row>
    <row r="385" spans="1:11">
      <c r="A385" t="s">
        <v>436</v>
      </c>
      <c r="B385" t="s">
        <v>864</v>
      </c>
      <c r="C385" t="s">
        <v>47</v>
      </c>
      <c r="D385" s="1" t="s">
        <v>50</v>
      </c>
      <c r="E385">
        <v>5500</v>
      </c>
      <c r="F385" s="2">
        <v>500</v>
      </c>
      <c r="G385" t="s">
        <v>1680</v>
      </c>
      <c r="H385" t="s">
        <v>1681</v>
      </c>
      <c r="I385" t="s">
        <v>48</v>
      </c>
      <c r="J385" t="s">
        <v>57</v>
      </c>
      <c r="K385" t="s">
        <v>64</v>
      </c>
    </row>
    <row r="386" spans="1:11">
      <c r="A386" t="s">
        <v>437</v>
      </c>
      <c r="B386" t="s">
        <v>722</v>
      </c>
      <c r="C386" t="s">
        <v>35</v>
      </c>
      <c r="D386" s="1">
        <v>37</v>
      </c>
      <c r="E386">
        <v>7000</v>
      </c>
      <c r="F386" t="s">
        <v>1010</v>
      </c>
      <c r="G386" t="s">
        <v>1682</v>
      </c>
      <c r="H386" t="s">
        <v>1683</v>
      </c>
      <c r="I386" t="s">
        <v>1684</v>
      </c>
      <c r="J386" t="s">
        <v>48</v>
      </c>
      <c r="K386" t="s">
        <v>967</v>
      </c>
    </row>
    <row r="387" spans="1:11">
      <c r="A387" t="s">
        <v>438</v>
      </c>
      <c r="B387" t="s">
        <v>865</v>
      </c>
      <c r="C387" t="s">
        <v>928</v>
      </c>
      <c r="D387" s="1">
        <v>19</v>
      </c>
      <c r="E387" t="s">
        <v>50</v>
      </c>
      <c r="F387" t="s">
        <v>970</v>
      </c>
      <c r="G387" t="s">
        <v>1685</v>
      </c>
      <c r="H387" t="s">
        <v>1686</v>
      </c>
      <c r="I387" t="s">
        <v>1687</v>
      </c>
      <c r="J387" t="s">
        <v>58</v>
      </c>
      <c r="K387" t="s">
        <v>64</v>
      </c>
    </row>
    <row r="388" spans="1:11">
      <c r="A388" t="s">
        <v>439</v>
      </c>
      <c r="B388" t="s">
        <v>604</v>
      </c>
      <c r="C388" t="s">
        <v>38</v>
      </c>
      <c r="D388" s="1" t="s">
        <v>48</v>
      </c>
      <c r="E388">
        <v>6500</v>
      </c>
      <c r="F388" t="s">
        <v>962</v>
      </c>
      <c r="G388" s="5">
        <v>45748</v>
      </c>
      <c r="H388" t="s">
        <v>1688</v>
      </c>
      <c r="I388" t="s">
        <v>1689</v>
      </c>
      <c r="J388" t="s">
        <v>60</v>
      </c>
      <c r="K388" t="s">
        <v>64</v>
      </c>
    </row>
    <row r="389" spans="1:11">
      <c r="A389" t="s">
        <v>440</v>
      </c>
      <c r="B389" t="s">
        <v>33</v>
      </c>
      <c r="C389" t="s">
        <v>43</v>
      </c>
      <c r="D389" s="1">
        <v>42</v>
      </c>
      <c r="E389">
        <v>5250</v>
      </c>
      <c r="F389">
        <v>1250</v>
      </c>
      <c r="G389" s="5">
        <v>44159</v>
      </c>
      <c r="H389" t="s">
        <v>1690</v>
      </c>
      <c r="I389" t="s">
        <v>1691</v>
      </c>
      <c r="J389" t="s">
        <v>961</v>
      </c>
      <c r="K389" t="s">
        <v>996</v>
      </c>
    </row>
    <row r="390" spans="1:11">
      <c r="A390" t="s">
        <v>441</v>
      </c>
      <c r="B390" t="s">
        <v>866</v>
      </c>
      <c r="C390" t="s">
        <v>925</v>
      </c>
      <c r="D390" s="1">
        <v>35</v>
      </c>
      <c r="E390" t="s">
        <v>48</v>
      </c>
      <c r="F390" t="s">
        <v>958</v>
      </c>
      <c r="G390" t="s">
        <v>1692</v>
      </c>
      <c r="H390" t="s">
        <v>1693</v>
      </c>
      <c r="I390" t="s">
        <v>1694</v>
      </c>
      <c r="J390" t="s">
        <v>48</v>
      </c>
      <c r="K390" t="s">
        <v>64</v>
      </c>
    </row>
    <row r="391" spans="1:11">
      <c r="A391" t="s">
        <v>442</v>
      </c>
      <c r="B391" t="s">
        <v>867</v>
      </c>
      <c r="C391" t="s">
        <v>42</v>
      </c>
      <c r="D391" s="1">
        <v>28</v>
      </c>
      <c r="E391">
        <v>9000</v>
      </c>
      <c r="F391">
        <v>1000</v>
      </c>
      <c r="G391" s="5">
        <v>44810</v>
      </c>
      <c r="H391" t="s">
        <v>1695</v>
      </c>
      <c r="I391" t="s">
        <v>1018</v>
      </c>
      <c r="J391" t="s">
        <v>48</v>
      </c>
      <c r="K391" t="s">
        <v>67</v>
      </c>
    </row>
    <row r="392" spans="1:11">
      <c r="A392" t="s">
        <v>443</v>
      </c>
      <c r="B392" t="s">
        <v>728</v>
      </c>
      <c r="C392" t="s">
        <v>37</v>
      </c>
      <c r="D392" s="1">
        <v>-4</v>
      </c>
      <c r="E392">
        <v>6500</v>
      </c>
      <c r="F392">
        <v>-200</v>
      </c>
      <c r="G392" t="s">
        <v>1696</v>
      </c>
      <c r="H392" t="s">
        <v>1697</v>
      </c>
      <c r="I392" t="s">
        <v>1698</v>
      </c>
      <c r="J392" t="s">
        <v>1017</v>
      </c>
      <c r="K392" t="s">
        <v>65</v>
      </c>
    </row>
    <row r="393" spans="1:11">
      <c r="A393" t="s">
        <v>444</v>
      </c>
      <c r="B393" t="s">
        <v>868</v>
      </c>
      <c r="C393" t="s">
        <v>928</v>
      </c>
      <c r="D393" s="1">
        <v>49</v>
      </c>
      <c r="E393">
        <v>-500</v>
      </c>
      <c r="F393" t="s">
        <v>48</v>
      </c>
      <c r="G393" t="s">
        <v>1699</v>
      </c>
      <c r="H393" t="s">
        <v>1674</v>
      </c>
      <c r="I393" t="s">
        <v>1700</v>
      </c>
      <c r="J393" t="s">
        <v>58</v>
      </c>
      <c r="K393" t="s">
        <v>61</v>
      </c>
    </row>
    <row r="394" spans="1:11">
      <c r="A394" t="s">
        <v>445</v>
      </c>
      <c r="B394" t="s">
        <v>778</v>
      </c>
      <c r="C394" t="s">
        <v>933</v>
      </c>
      <c r="D394" s="1" t="s">
        <v>50</v>
      </c>
      <c r="E394" t="s">
        <v>50</v>
      </c>
      <c r="G394" s="5">
        <v>44404</v>
      </c>
      <c r="H394" t="s">
        <v>1701</v>
      </c>
      <c r="I394" t="s">
        <v>1702</v>
      </c>
      <c r="J394" t="s">
        <v>60</v>
      </c>
      <c r="K394" t="s">
        <v>967</v>
      </c>
    </row>
    <row r="395" spans="1:11">
      <c r="A395" t="s">
        <v>446</v>
      </c>
      <c r="B395" t="s">
        <v>869</v>
      </c>
      <c r="C395" t="s">
        <v>43</v>
      </c>
      <c r="D395" s="1" t="s">
        <v>48</v>
      </c>
      <c r="E395">
        <v>7750</v>
      </c>
      <c r="F395">
        <v>250</v>
      </c>
      <c r="G395" s="5">
        <v>45601</v>
      </c>
      <c r="H395" t="s">
        <v>1703</v>
      </c>
      <c r="I395">
        <f>974-4275-8364</f>
        <v>-11665</v>
      </c>
      <c r="J395" t="s">
        <v>961</v>
      </c>
      <c r="K395" t="s">
        <v>64</v>
      </c>
    </row>
    <row r="396" spans="1:11">
      <c r="A396" t="s">
        <v>447</v>
      </c>
      <c r="B396" t="s">
        <v>870</v>
      </c>
      <c r="C396" t="s">
        <v>38</v>
      </c>
      <c r="D396" s="1">
        <v>32</v>
      </c>
      <c r="E396">
        <v>4800</v>
      </c>
      <c r="F396">
        <v>1000</v>
      </c>
      <c r="G396" s="5">
        <v>45385</v>
      </c>
      <c r="H396" t="s">
        <v>1704</v>
      </c>
      <c r="I396" t="s">
        <v>1705</v>
      </c>
      <c r="J396" t="s">
        <v>59</v>
      </c>
    </row>
    <row r="397" spans="1:11">
      <c r="A397" t="s">
        <v>448</v>
      </c>
      <c r="B397" t="s">
        <v>871</v>
      </c>
      <c r="C397" t="s">
        <v>35</v>
      </c>
      <c r="D397" s="1">
        <v>41</v>
      </c>
      <c r="E397" t="s">
        <v>48</v>
      </c>
      <c r="F397">
        <v>250</v>
      </c>
      <c r="G397" t="s">
        <v>1706</v>
      </c>
      <c r="H397" t="s">
        <v>1707</v>
      </c>
      <c r="I397">
        <f>974-3133-3171</f>
        <v>-5330</v>
      </c>
      <c r="J397" t="s">
        <v>56</v>
      </c>
      <c r="K397" t="s">
        <v>50</v>
      </c>
    </row>
    <row r="398" spans="1:11">
      <c r="A398" t="s">
        <v>449</v>
      </c>
      <c r="B398" t="s">
        <v>872</v>
      </c>
      <c r="C398" t="s">
        <v>925</v>
      </c>
      <c r="D398" s="1">
        <v>24</v>
      </c>
      <c r="E398">
        <v>5000</v>
      </c>
      <c r="F398" t="s">
        <v>48</v>
      </c>
      <c r="G398" s="5">
        <v>43523</v>
      </c>
      <c r="H398" t="s">
        <v>1708</v>
      </c>
      <c r="I398" t="s">
        <v>48</v>
      </c>
      <c r="J398" t="s">
        <v>961</v>
      </c>
      <c r="K398" t="s">
        <v>64</v>
      </c>
    </row>
    <row r="399" spans="1:11">
      <c r="A399" t="s">
        <v>450</v>
      </c>
      <c r="B399" t="s">
        <v>873</v>
      </c>
      <c r="C399" t="s">
        <v>39</v>
      </c>
      <c r="D399" s="1">
        <v>36</v>
      </c>
      <c r="E399">
        <v>7200</v>
      </c>
      <c r="F399" s="2">
        <v>500</v>
      </c>
      <c r="G399" t="s">
        <v>1003</v>
      </c>
      <c r="H399" t="s">
        <v>1709</v>
      </c>
      <c r="I399" t="s">
        <v>1710</v>
      </c>
      <c r="J399" t="s">
        <v>48</v>
      </c>
      <c r="K399" t="s">
        <v>63</v>
      </c>
    </row>
    <row r="400" spans="1:11">
      <c r="A400" t="s">
        <v>451</v>
      </c>
      <c r="B400" t="s">
        <v>33</v>
      </c>
      <c r="C400" t="s">
        <v>928</v>
      </c>
      <c r="D400" s="1" t="s">
        <v>48</v>
      </c>
      <c r="E400">
        <v>8500</v>
      </c>
      <c r="F400">
        <v>500</v>
      </c>
      <c r="G400" s="5">
        <v>44660</v>
      </c>
      <c r="H400" t="s">
        <v>1711</v>
      </c>
      <c r="I400" t="s">
        <v>1712</v>
      </c>
      <c r="J400" t="s">
        <v>961</v>
      </c>
      <c r="K400" t="s">
        <v>65</v>
      </c>
    </row>
    <row r="401" spans="1:11">
      <c r="A401" t="s">
        <v>452</v>
      </c>
      <c r="B401" t="s">
        <v>874</v>
      </c>
      <c r="C401" t="s">
        <v>43</v>
      </c>
      <c r="D401" s="1">
        <v>27</v>
      </c>
      <c r="E401" t="s">
        <v>50</v>
      </c>
      <c r="F401" t="s">
        <v>1014</v>
      </c>
      <c r="G401" s="5">
        <v>44454</v>
      </c>
      <c r="H401" t="s">
        <v>1713</v>
      </c>
      <c r="I401" t="s">
        <v>1714</v>
      </c>
      <c r="J401" t="s">
        <v>54</v>
      </c>
      <c r="K401" t="s">
        <v>64</v>
      </c>
    </row>
    <row r="402" spans="1:11">
      <c r="A402" t="s">
        <v>453</v>
      </c>
      <c r="B402" t="s">
        <v>875</v>
      </c>
      <c r="C402" t="s">
        <v>933</v>
      </c>
      <c r="D402" s="1">
        <v>43</v>
      </c>
      <c r="E402">
        <v>6200</v>
      </c>
      <c r="F402">
        <v>750</v>
      </c>
      <c r="G402" t="s">
        <v>51</v>
      </c>
      <c r="H402" t="s">
        <v>1715</v>
      </c>
      <c r="I402">
        <v>123</v>
      </c>
      <c r="J402" t="s">
        <v>50</v>
      </c>
      <c r="K402" t="s">
        <v>967</v>
      </c>
    </row>
    <row r="403" spans="1:11">
      <c r="A403" t="s">
        <v>454</v>
      </c>
      <c r="B403" t="s">
        <v>713</v>
      </c>
      <c r="C403" t="s">
        <v>38</v>
      </c>
      <c r="D403" s="1" t="s">
        <v>50</v>
      </c>
      <c r="E403">
        <v>6250</v>
      </c>
      <c r="F403" t="s">
        <v>33</v>
      </c>
      <c r="G403" s="5">
        <v>45094</v>
      </c>
      <c r="H403" t="s">
        <v>1716</v>
      </c>
      <c r="I403">
        <f>974-7979-1861</f>
        <v>-8866</v>
      </c>
      <c r="J403" t="s">
        <v>977</v>
      </c>
      <c r="K403" t="s">
        <v>50</v>
      </c>
    </row>
    <row r="404" spans="1:11">
      <c r="A404" t="s">
        <v>455</v>
      </c>
      <c r="B404" t="s">
        <v>648</v>
      </c>
      <c r="C404" t="s">
        <v>35</v>
      </c>
      <c r="D404" s="1">
        <v>30</v>
      </c>
      <c r="E404" t="s">
        <v>48</v>
      </c>
      <c r="F404">
        <v>1000</v>
      </c>
      <c r="G404" s="5">
        <v>45408</v>
      </c>
      <c r="H404" t="s">
        <v>1717</v>
      </c>
      <c r="I404" t="s">
        <v>1718</v>
      </c>
      <c r="K404" t="s">
        <v>62</v>
      </c>
    </row>
    <row r="405" spans="1:11">
      <c r="A405" t="s">
        <v>456</v>
      </c>
      <c r="B405" t="s">
        <v>620</v>
      </c>
      <c r="C405" t="s">
        <v>925</v>
      </c>
      <c r="D405" s="1">
        <v>160</v>
      </c>
      <c r="E405">
        <v>4500</v>
      </c>
      <c r="F405">
        <v>300</v>
      </c>
      <c r="G405" t="s">
        <v>1719</v>
      </c>
      <c r="H405" t="s">
        <v>1720</v>
      </c>
      <c r="I405" t="s">
        <v>1721</v>
      </c>
      <c r="J405" t="s">
        <v>58</v>
      </c>
      <c r="K405" t="s">
        <v>64</v>
      </c>
    </row>
    <row r="406" spans="1:11">
      <c r="A406" t="s">
        <v>457</v>
      </c>
      <c r="B406" t="s">
        <v>876</v>
      </c>
      <c r="C406" t="s">
        <v>928</v>
      </c>
      <c r="D406" s="1">
        <v>39</v>
      </c>
      <c r="E406">
        <v>9500</v>
      </c>
      <c r="F406">
        <v>500</v>
      </c>
      <c r="G406" t="s">
        <v>1722</v>
      </c>
      <c r="H406" t="s">
        <v>1723</v>
      </c>
      <c r="I406">
        <f>974-3386-1313</f>
        <v>-3725</v>
      </c>
      <c r="J406" t="s">
        <v>977</v>
      </c>
      <c r="K406" t="s">
        <v>65</v>
      </c>
    </row>
    <row r="407" spans="1:11">
      <c r="A407" t="s">
        <v>458</v>
      </c>
      <c r="B407" t="s">
        <v>616</v>
      </c>
      <c r="C407" t="s">
        <v>47</v>
      </c>
      <c r="D407" s="1">
        <v>22</v>
      </c>
      <c r="E407">
        <v>6500</v>
      </c>
      <c r="F407">
        <v>500</v>
      </c>
      <c r="G407" t="s">
        <v>1724</v>
      </c>
      <c r="H407" t="s">
        <v>1725</v>
      </c>
      <c r="I407">
        <v>32899733</v>
      </c>
      <c r="J407" t="s">
        <v>961</v>
      </c>
      <c r="K407" t="s">
        <v>996</v>
      </c>
    </row>
    <row r="408" spans="1:11">
      <c r="A408" t="s">
        <v>459</v>
      </c>
      <c r="B408" t="s">
        <v>877</v>
      </c>
      <c r="C408" t="s">
        <v>45</v>
      </c>
      <c r="D408" s="1" t="s">
        <v>48</v>
      </c>
      <c r="E408" t="s">
        <v>50</v>
      </c>
      <c r="F408" t="s">
        <v>48</v>
      </c>
      <c r="G408" s="5">
        <v>44479</v>
      </c>
      <c r="H408" t="s">
        <v>1726</v>
      </c>
      <c r="I408" t="s">
        <v>1727</v>
      </c>
      <c r="J408" t="s">
        <v>57</v>
      </c>
      <c r="K408" t="s">
        <v>61</v>
      </c>
    </row>
    <row r="409" spans="1:11">
      <c r="A409" t="s">
        <v>460</v>
      </c>
      <c r="B409" t="s">
        <v>593</v>
      </c>
      <c r="C409" t="s">
        <v>42</v>
      </c>
      <c r="D409" s="1" t="s">
        <v>49</v>
      </c>
      <c r="E409">
        <v>5750</v>
      </c>
      <c r="F409">
        <v>500</v>
      </c>
      <c r="G409" s="5">
        <v>43930</v>
      </c>
      <c r="H409" t="s">
        <v>1728</v>
      </c>
      <c r="I409" t="s">
        <v>1729</v>
      </c>
      <c r="J409" t="s">
        <v>961</v>
      </c>
      <c r="K409" t="s">
        <v>48</v>
      </c>
    </row>
    <row r="410" spans="1:11">
      <c r="A410" t="s">
        <v>461</v>
      </c>
      <c r="B410" t="s">
        <v>760</v>
      </c>
      <c r="C410" t="s">
        <v>37</v>
      </c>
      <c r="D410" s="1">
        <v>34</v>
      </c>
      <c r="E410">
        <v>8000</v>
      </c>
      <c r="F410">
        <v>500</v>
      </c>
      <c r="G410" t="s">
        <v>1730</v>
      </c>
      <c r="H410" t="s">
        <v>1731</v>
      </c>
      <c r="I410" t="s">
        <v>1732</v>
      </c>
      <c r="J410" t="s">
        <v>1017</v>
      </c>
      <c r="K410" t="s">
        <v>48</v>
      </c>
    </row>
    <row r="411" spans="1:11">
      <c r="A411" t="s">
        <v>462</v>
      </c>
      <c r="B411" t="s">
        <v>33</v>
      </c>
      <c r="C411" t="s">
        <v>933</v>
      </c>
      <c r="D411" s="1">
        <v>45</v>
      </c>
      <c r="E411" t="s">
        <v>48</v>
      </c>
      <c r="F411">
        <v>500</v>
      </c>
      <c r="G411" t="s">
        <v>1733</v>
      </c>
      <c r="H411" t="s">
        <v>1734</v>
      </c>
      <c r="I411" t="s">
        <v>1735</v>
      </c>
      <c r="J411" t="s">
        <v>1017</v>
      </c>
      <c r="K411" t="s">
        <v>61</v>
      </c>
    </row>
    <row r="412" spans="1:11">
      <c r="A412" t="s">
        <v>463</v>
      </c>
      <c r="B412" t="s">
        <v>878</v>
      </c>
      <c r="C412" t="s">
        <v>38</v>
      </c>
      <c r="D412" s="1">
        <v>29</v>
      </c>
      <c r="E412">
        <v>7200</v>
      </c>
      <c r="F412">
        <v>250</v>
      </c>
      <c r="G412" s="5">
        <v>45574</v>
      </c>
      <c r="H412" t="s">
        <v>1059</v>
      </c>
      <c r="I412" t="s">
        <v>1736</v>
      </c>
      <c r="J412" t="s">
        <v>999</v>
      </c>
      <c r="K412" t="s">
        <v>967</v>
      </c>
    </row>
    <row r="413" spans="1:11">
      <c r="A413" t="s">
        <v>464</v>
      </c>
      <c r="B413" t="s">
        <v>629</v>
      </c>
      <c r="C413" t="s">
        <v>928</v>
      </c>
      <c r="D413" s="1" t="s">
        <v>50</v>
      </c>
      <c r="E413">
        <v>5200</v>
      </c>
      <c r="F413">
        <v>-200</v>
      </c>
      <c r="G413" t="s">
        <v>51</v>
      </c>
      <c r="H413" t="s">
        <v>1737</v>
      </c>
      <c r="I413" t="s">
        <v>1738</v>
      </c>
      <c r="J413" t="s">
        <v>1017</v>
      </c>
      <c r="K413" t="s">
        <v>63</v>
      </c>
    </row>
    <row r="414" spans="1:11">
      <c r="A414" t="s">
        <v>465</v>
      </c>
      <c r="B414" t="s">
        <v>653</v>
      </c>
      <c r="C414" t="s">
        <v>925</v>
      </c>
      <c r="D414" s="1">
        <v>18</v>
      </c>
      <c r="E414">
        <v>-2000</v>
      </c>
      <c r="F414" t="s">
        <v>50</v>
      </c>
      <c r="G414" s="5">
        <v>45575</v>
      </c>
      <c r="H414" t="s">
        <v>1739</v>
      </c>
      <c r="I414" t="s">
        <v>1740</v>
      </c>
      <c r="K414" t="s">
        <v>50</v>
      </c>
    </row>
    <row r="415" spans="1:11">
      <c r="A415" t="s">
        <v>466</v>
      </c>
      <c r="B415" t="s">
        <v>879</v>
      </c>
      <c r="C415" t="s">
        <v>43</v>
      </c>
      <c r="D415" s="1" t="s">
        <v>48</v>
      </c>
      <c r="E415" t="s">
        <v>50</v>
      </c>
      <c r="F415">
        <v>0</v>
      </c>
      <c r="G415" s="5">
        <v>43792</v>
      </c>
      <c r="H415" t="s">
        <v>1741</v>
      </c>
      <c r="I415">
        <v>42433957</v>
      </c>
      <c r="J415" t="s">
        <v>48</v>
      </c>
      <c r="K415" t="s">
        <v>61</v>
      </c>
    </row>
    <row r="416" spans="1:11">
      <c r="A416" t="s">
        <v>467</v>
      </c>
      <c r="B416" t="s">
        <v>880</v>
      </c>
      <c r="C416" t="s">
        <v>35</v>
      </c>
      <c r="D416" s="1">
        <v>37</v>
      </c>
      <c r="E416">
        <v>6500</v>
      </c>
      <c r="F416">
        <v>750</v>
      </c>
      <c r="G416" t="s">
        <v>1742</v>
      </c>
      <c r="H416" t="s">
        <v>1743</v>
      </c>
      <c r="I416" t="s">
        <v>1744</v>
      </c>
      <c r="J416" t="s">
        <v>57</v>
      </c>
      <c r="K416" t="s">
        <v>48</v>
      </c>
    </row>
    <row r="417" spans="1:11">
      <c r="A417" t="s">
        <v>468</v>
      </c>
      <c r="B417" t="s">
        <v>881</v>
      </c>
      <c r="C417" t="s">
        <v>39</v>
      </c>
      <c r="D417" s="1">
        <v>25</v>
      </c>
      <c r="E417">
        <v>9000</v>
      </c>
      <c r="F417">
        <v>1000</v>
      </c>
      <c r="G417" s="5">
        <v>45383</v>
      </c>
      <c r="H417" t="s">
        <v>1745</v>
      </c>
      <c r="I417" t="s">
        <v>1746</v>
      </c>
      <c r="J417" t="s">
        <v>961</v>
      </c>
      <c r="K417" t="s">
        <v>66</v>
      </c>
    </row>
    <row r="418" spans="1:11">
      <c r="A418" t="s">
        <v>469</v>
      </c>
      <c r="B418" t="s">
        <v>882</v>
      </c>
      <c r="C418" t="s">
        <v>933</v>
      </c>
      <c r="D418" s="1">
        <v>42</v>
      </c>
      <c r="E418" t="s">
        <v>48</v>
      </c>
      <c r="F418" s="2">
        <v>1000</v>
      </c>
      <c r="G418" s="5">
        <v>44545</v>
      </c>
      <c r="H418" t="s">
        <v>1747</v>
      </c>
      <c r="I418">
        <v>52393798</v>
      </c>
      <c r="J418" t="s">
        <v>1017</v>
      </c>
      <c r="K418" t="s">
        <v>63</v>
      </c>
    </row>
    <row r="419" spans="1:11">
      <c r="A419" t="s">
        <v>470</v>
      </c>
      <c r="B419" t="s">
        <v>883</v>
      </c>
      <c r="C419" t="s">
        <v>928</v>
      </c>
      <c r="D419" s="1">
        <v>-1</v>
      </c>
      <c r="E419">
        <v>4800</v>
      </c>
      <c r="F419">
        <v>300</v>
      </c>
      <c r="G419" t="s">
        <v>1748</v>
      </c>
      <c r="H419" t="s">
        <v>1749</v>
      </c>
      <c r="I419" t="s">
        <v>1750</v>
      </c>
      <c r="J419" t="s">
        <v>55</v>
      </c>
      <c r="K419" t="s">
        <v>967</v>
      </c>
    </row>
    <row r="420" spans="1:11">
      <c r="A420" t="s">
        <v>471</v>
      </c>
      <c r="B420" t="s">
        <v>884</v>
      </c>
      <c r="C420" t="s">
        <v>38</v>
      </c>
      <c r="D420" s="1">
        <v>31</v>
      </c>
      <c r="E420">
        <v>8000</v>
      </c>
      <c r="F420" s="2">
        <v>750</v>
      </c>
      <c r="G420" t="s">
        <v>1751</v>
      </c>
      <c r="H420" t="s">
        <v>1752</v>
      </c>
      <c r="I420" t="s">
        <v>1753</v>
      </c>
      <c r="J420" t="s">
        <v>60</v>
      </c>
      <c r="K420" t="s">
        <v>967</v>
      </c>
    </row>
    <row r="421" spans="1:11">
      <c r="A421" t="s">
        <v>472</v>
      </c>
      <c r="B421" t="s">
        <v>791</v>
      </c>
      <c r="C421" t="s">
        <v>35</v>
      </c>
      <c r="D421" s="1" t="s">
        <v>50</v>
      </c>
      <c r="E421">
        <v>5500</v>
      </c>
      <c r="F421" t="s">
        <v>48</v>
      </c>
      <c r="G421" t="s">
        <v>1754</v>
      </c>
      <c r="H421" t="s">
        <v>1755</v>
      </c>
      <c r="I421" t="s">
        <v>970</v>
      </c>
      <c r="J421" t="s">
        <v>56</v>
      </c>
      <c r="K421" t="s">
        <v>68</v>
      </c>
    </row>
    <row r="422" spans="1:11">
      <c r="A422" t="s">
        <v>473</v>
      </c>
      <c r="B422" t="s">
        <v>33</v>
      </c>
      <c r="C422" t="s">
        <v>43</v>
      </c>
      <c r="D422" s="1" t="s">
        <v>48</v>
      </c>
      <c r="E422" t="s">
        <v>50</v>
      </c>
      <c r="F422">
        <v>300</v>
      </c>
      <c r="G422" t="s">
        <v>1137</v>
      </c>
      <c r="H422" t="s">
        <v>1756</v>
      </c>
      <c r="I422">
        <f>974-3777-6084</f>
        <v>-8887</v>
      </c>
      <c r="J422" t="s">
        <v>1017</v>
      </c>
      <c r="K422" t="s">
        <v>66</v>
      </c>
    </row>
    <row r="423" spans="1:11">
      <c r="A423" t="s">
        <v>474</v>
      </c>
      <c r="B423" t="s">
        <v>885</v>
      </c>
      <c r="C423" t="s">
        <v>925</v>
      </c>
      <c r="D423" s="1">
        <v>44</v>
      </c>
      <c r="E423">
        <v>7500</v>
      </c>
      <c r="F423">
        <v>-200</v>
      </c>
      <c r="G423" t="s">
        <v>1757</v>
      </c>
      <c r="H423" t="s">
        <v>1008</v>
      </c>
      <c r="I423" t="s">
        <v>1758</v>
      </c>
      <c r="J423" t="s">
        <v>977</v>
      </c>
      <c r="K423" t="s">
        <v>996</v>
      </c>
    </row>
    <row r="424" spans="1:11">
      <c r="A424" t="s">
        <v>475</v>
      </c>
      <c r="B424" t="s">
        <v>817</v>
      </c>
      <c r="C424" t="s">
        <v>42</v>
      </c>
      <c r="D424" s="1">
        <v>33</v>
      </c>
      <c r="E424">
        <v>6200</v>
      </c>
      <c r="F424">
        <v>500</v>
      </c>
      <c r="G424" t="s">
        <v>1759</v>
      </c>
      <c r="H424" t="s">
        <v>1760</v>
      </c>
      <c r="I424">
        <v>32242788</v>
      </c>
      <c r="J424" t="s">
        <v>54</v>
      </c>
      <c r="K424" t="s">
        <v>63</v>
      </c>
    </row>
    <row r="425" spans="1:11">
      <c r="A425" t="s">
        <v>476</v>
      </c>
      <c r="B425" t="s">
        <v>886</v>
      </c>
      <c r="C425" t="s">
        <v>928</v>
      </c>
      <c r="D425" s="1">
        <v>20</v>
      </c>
      <c r="E425" t="s">
        <v>48</v>
      </c>
      <c r="F425" t="s">
        <v>1010</v>
      </c>
      <c r="G425" t="s">
        <v>50</v>
      </c>
      <c r="H425" t="s">
        <v>1761</v>
      </c>
      <c r="I425" t="s">
        <v>1762</v>
      </c>
      <c r="J425" t="s">
        <v>1017</v>
      </c>
      <c r="K425" t="s">
        <v>66</v>
      </c>
    </row>
    <row r="426" spans="1:11">
      <c r="A426" t="s">
        <v>477</v>
      </c>
      <c r="B426" t="s">
        <v>887</v>
      </c>
      <c r="C426" t="s">
        <v>37</v>
      </c>
      <c r="D426" s="1">
        <v>38</v>
      </c>
      <c r="E426">
        <v>5250</v>
      </c>
      <c r="F426" t="s">
        <v>1014</v>
      </c>
      <c r="G426" s="5">
        <v>44995</v>
      </c>
      <c r="H426" t="s">
        <v>1763</v>
      </c>
      <c r="I426" t="s">
        <v>1764</v>
      </c>
      <c r="J426" t="s">
        <v>1017</v>
      </c>
      <c r="K426" t="s">
        <v>61</v>
      </c>
    </row>
    <row r="427" spans="1:11">
      <c r="A427" t="s">
        <v>478</v>
      </c>
      <c r="B427" t="s">
        <v>888</v>
      </c>
      <c r="C427" t="s">
        <v>47</v>
      </c>
      <c r="D427" s="1" t="s">
        <v>48</v>
      </c>
      <c r="E427">
        <v>7200</v>
      </c>
      <c r="F427">
        <v>250</v>
      </c>
      <c r="G427" s="5">
        <v>44199</v>
      </c>
      <c r="H427" t="s">
        <v>1765</v>
      </c>
      <c r="I427">
        <f>974-4343-4332</f>
        <v>-7701</v>
      </c>
      <c r="J427" t="s">
        <v>57</v>
      </c>
      <c r="K427" t="s">
        <v>967</v>
      </c>
    </row>
    <row r="428" spans="1:11">
      <c r="A428" t="s">
        <v>479</v>
      </c>
      <c r="B428" t="s">
        <v>889</v>
      </c>
      <c r="C428" t="s">
        <v>933</v>
      </c>
      <c r="D428" s="1">
        <v>26</v>
      </c>
      <c r="E428">
        <v>9000</v>
      </c>
      <c r="F428">
        <v>-200</v>
      </c>
      <c r="G428" t="s">
        <v>1766</v>
      </c>
      <c r="H428" t="s">
        <v>1767</v>
      </c>
      <c r="I428" t="s">
        <v>1768</v>
      </c>
      <c r="J428" t="s">
        <v>1017</v>
      </c>
      <c r="K428" t="s">
        <v>996</v>
      </c>
    </row>
    <row r="429" spans="1:11">
      <c r="A429" t="s">
        <v>480</v>
      </c>
      <c r="B429" t="s">
        <v>890</v>
      </c>
      <c r="C429" t="s">
        <v>38</v>
      </c>
      <c r="D429" s="1">
        <v>47</v>
      </c>
      <c r="E429" t="s">
        <v>50</v>
      </c>
      <c r="F429">
        <v>300</v>
      </c>
      <c r="G429" s="5">
        <v>43952</v>
      </c>
      <c r="H429" t="s">
        <v>1769</v>
      </c>
      <c r="I429">
        <f>974-3432-3162</f>
        <v>-5620</v>
      </c>
      <c r="J429" t="s">
        <v>54</v>
      </c>
      <c r="K429" t="s">
        <v>63</v>
      </c>
    </row>
    <row r="430" spans="1:11">
      <c r="A430" t="s">
        <v>481</v>
      </c>
      <c r="B430" t="s">
        <v>598</v>
      </c>
      <c r="C430" t="s">
        <v>43</v>
      </c>
      <c r="D430" s="1" t="s">
        <v>50</v>
      </c>
      <c r="E430">
        <v>6500</v>
      </c>
      <c r="F430">
        <v>500</v>
      </c>
      <c r="G430" t="s">
        <v>1137</v>
      </c>
      <c r="I430" t="s">
        <v>1770</v>
      </c>
      <c r="J430" t="s">
        <v>57</v>
      </c>
      <c r="K430" t="s">
        <v>65</v>
      </c>
    </row>
    <row r="431" spans="1:11">
      <c r="A431" t="s">
        <v>482</v>
      </c>
      <c r="B431" t="s">
        <v>891</v>
      </c>
      <c r="C431" t="s">
        <v>35</v>
      </c>
      <c r="D431" s="1">
        <v>35</v>
      </c>
      <c r="E431" t="s">
        <v>48</v>
      </c>
      <c r="F431">
        <v>250</v>
      </c>
      <c r="G431" s="5">
        <v>45583</v>
      </c>
      <c r="H431" t="s">
        <v>1771</v>
      </c>
      <c r="I431">
        <v>64675503</v>
      </c>
      <c r="J431" t="s">
        <v>50</v>
      </c>
      <c r="K431" t="s">
        <v>61</v>
      </c>
    </row>
    <row r="432" spans="1:11">
      <c r="A432" t="s">
        <v>483</v>
      </c>
      <c r="B432" t="s">
        <v>892</v>
      </c>
      <c r="C432" t="s">
        <v>928</v>
      </c>
      <c r="D432" s="1">
        <v>150</v>
      </c>
      <c r="E432">
        <v>6800</v>
      </c>
      <c r="F432" t="s">
        <v>970</v>
      </c>
      <c r="G432" s="5">
        <v>43952</v>
      </c>
      <c r="H432" t="s">
        <v>1772</v>
      </c>
      <c r="I432">
        <v>97478726309</v>
      </c>
      <c r="J432" t="s">
        <v>59</v>
      </c>
      <c r="K432" t="s">
        <v>996</v>
      </c>
    </row>
    <row r="433" spans="1:11">
      <c r="A433" t="s">
        <v>484</v>
      </c>
      <c r="B433" t="s">
        <v>33</v>
      </c>
      <c r="C433" t="s">
        <v>925</v>
      </c>
      <c r="D433" s="1">
        <v>30</v>
      </c>
      <c r="E433">
        <v>4800</v>
      </c>
      <c r="F433">
        <v>500</v>
      </c>
      <c r="G433" t="s">
        <v>1003</v>
      </c>
      <c r="H433" t="s">
        <v>1773</v>
      </c>
      <c r="I433" t="s">
        <v>1774</v>
      </c>
      <c r="J433" t="s">
        <v>55</v>
      </c>
      <c r="K433" t="s">
        <v>48</v>
      </c>
    </row>
    <row r="434" spans="1:11">
      <c r="A434" t="s">
        <v>485</v>
      </c>
      <c r="B434" t="s">
        <v>893</v>
      </c>
      <c r="C434" t="s">
        <v>39</v>
      </c>
      <c r="D434" s="1">
        <v>23</v>
      </c>
      <c r="E434">
        <v>8250</v>
      </c>
      <c r="F434">
        <v>750</v>
      </c>
      <c r="G434" t="s">
        <v>1775</v>
      </c>
      <c r="H434" t="s">
        <v>1776</v>
      </c>
      <c r="I434" t="s">
        <v>1777</v>
      </c>
      <c r="J434" t="s">
        <v>56</v>
      </c>
      <c r="K434" t="s">
        <v>61</v>
      </c>
    </row>
    <row r="435" spans="1:11">
      <c r="A435" t="s">
        <v>486</v>
      </c>
      <c r="B435" t="s">
        <v>894</v>
      </c>
      <c r="C435" t="s">
        <v>933</v>
      </c>
      <c r="D435" s="1" t="s">
        <v>48</v>
      </c>
      <c r="E435">
        <v>-1500</v>
      </c>
      <c r="F435">
        <v>300</v>
      </c>
      <c r="G435" s="5">
        <v>45264</v>
      </c>
      <c r="H435" t="s">
        <v>1778</v>
      </c>
      <c r="I435">
        <v>35098455</v>
      </c>
      <c r="J435" t="s">
        <v>59</v>
      </c>
      <c r="K435" t="s">
        <v>996</v>
      </c>
    </row>
    <row r="436" spans="1:11">
      <c r="A436" t="s">
        <v>487</v>
      </c>
      <c r="B436" t="s">
        <v>737</v>
      </c>
      <c r="C436" t="s">
        <v>45</v>
      </c>
      <c r="D436" s="1" t="s">
        <v>951</v>
      </c>
      <c r="E436" t="s">
        <v>50</v>
      </c>
      <c r="F436" t="s">
        <v>962</v>
      </c>
      <c r="G436" s="5">
        <v>44000</v>
      </c>
      <c r="I436" t="s">
        <v>970</v>
      </c>
      <c r="J436" t="s">
        <v>54</v>
      </c>
      <c r="K436" t="s">
        <v>66</v>
      </c>
    </row>
    <row r="437" spans="1:11">
      <c r="A437" t="s">
        <v>488</v>
      </c>
      <c r="B437" t="s">
        <v>895</v>
      </c>
      <c r="C437" t="s">
        <v>38</v>
      </c>
      <c r="D437" s="1">
        <v>40</v>
      </c>
      <c r="E437">
        <v>5500</v>
      </c>
      <c r="F437" t="s">
        <v>1014</v>
      </c>
      <c r="G437" t="s">
        <v>1779</v>
      </c>
      <c r="H437" t="s">
        <v>1780</v>
      </c>
      <c r="I437">
        <v>57328448</v>
      </c>
      <c r="J437" t="s">
        <v>55</v>
      </c>
      <c r="K437" t="s">
        <v>996</v>
      </c>
    </row>
    <row r="438" spans="1:11">
      <c r="A438" t="s">
        <v>489</v>
      </c>
      <c r="B438" t="s">
        <v>652</v>
      </c>
      <c r="C438" t="s">
        <v>35</v>
      </c>
      <c r="D438" s="1">
        <v>32</v>
      </c>
      <c r="E438">
        <v>7000</v>
      </c>
      <c r="F438" t="s">
        <v>1014</v>
      </c>
      <c r="G438" s="5">
        <v>43520</v>
      </c>
      <c r="H438" t="s">
        <v>1781</v>
      </c>
      <c r="I438">
        <f>974-6629-9664</f>
        <v>-15319</v>
      </c>
      <c r="J438" t="s">
        <v>57</v>
      </c>
      <c r="K438" t="s">
        <v>967</v>
      </c>
    </row>
    <row r="439" spans="1:11">
      <c r="A439" t="s">
        <v>490</v>
      </c>
      <c r="B439" t="s">
        <v>896</v>
      </c>
      <c r="C439" t="s">
        <v>928</v>
      </c>
      <c r="D439" s="1">
        <v>28</v>
      </c>
      <c r="E439" t="s">
        <v>48</v>
      </c>
      <c r="F439" s="2">
        <v>1000</v>
      </c>
      <c r="G439" s="5">
        <v>45551</v>
      </c>
      <c r="H439" t="s">
        <v>1782</v>
      </c>
      <c r="I439">
        <f>974-5756-8104</f>
        <v>-12886</v>
      </c>
      <c r="J439" t="s">
        <v>977</v>
      </c>
      <c r="K439" t="s">
        <v>66</v>
      </c>
    </row>
    <row r="440" spans="1:11">
      <c r="A440" t="s">
        <v>491</v>
      </c>
      <c r="B440" t="s">
        <v>897</v>
      </c>
      <c r="C440" t="s">
        <v>43</v>
      </c>
      <c r="D440" s="1" t="s">
        <v>50</v>
      </c>
      <c r="E440">
        <v>9250</v>
      </c>
      <c r="F440">
        <v>-50</v>
      </c>
      <c r="G440" t="s">
        <v>1783</v>
      </c>
      <c r="H440" t="s">
        <v>1784</v>
      </c>
      <c r="I440" t="s">
        <v>1785</v>
      </c>
      <c r="J440" t="s">
        <v>961</v>
      </c>
      <c r="K440" t="s">
        <v>967</v>
      </c>
    </row>
    <row r="441" spans="1:11">
      <c r="A441" t="s">
        <v>492</v>
      </c>
      <c r="B441" t="s">
        <v>759</v>
      </c>
      <c r="C441" t="s">
        <v>925</v>
      </c>
      <c r="D441" s="1">
        <v>19</v>
      </c>
      <c r="E441">
        <v>5200</v>
      </c>
      <c r="F441">
        <v>500</v>
      </c>
      <c r="G441" s="5">
        <v>45650</v>
      </c>
      <c r="H441" t="s">
        <v>1786</v>
      </c>
      <c r="I441" t="s">
        <v>1787</v>
      </c>
      <c r="K441" t="s">
        <v>66</v>
      </c>
    </row>
    <row r="442" spans="1:11">
      <c r="A442" t="s">
        <v>493</v>
      </c>
      <c r="B442" t="s">
        <v>898</v>
      </c>
      <c r="C442" t="s">
        <v>933</v>
      </c>
      <c r="D442" s="1" t="s">
        <v>48</v>
      </c>
      <c r="E442">
        <v>6500</v>
      </c>
      <c r="F442" t="s">
        <v>958</v>
      </c>
      <c r="G442" t="s">
        <v>1788</v>
      </c>
      <c r="H442" t="s">
        <v>1789</v>
      </c>
      <c r="I442">
        <f>974-6768-7821</f>
        <v>-13615</v>
      </c>
      <c r="J442" t="s">
        <v>54</v>
      </c>
      <c r="K442" t="s">
        <v>65</v>
      </c>
    </row>
    <row r="443" spans="1:11">
      <c r="A443" t="s">
        <v>494</v>
      </c>
      <c r="B443" t="s">
        <v>677</v>
      </c>
      <c r="C443" t="s">
        <v>37</v>
      </c>
      <c r="D443" s="1">
        <v>41</v>
      </c>
      <c r="E443" t="s">
        <v>50</v>
      </c>
      <c r="F443" t="s">
        <v>1003</v>
      </c>
      <c r="G443" s="5">
        <v>44291</v>
      </c>
      <c r="H443" t="s">
        <v>1790</v>
      </c>
      <c r="I443" t="s">
        <v>1791</v>
      </c>
      <c r="J443" t="s">
        <v>58</v>
      </c>
      <c r="K443" t="s">
        <v>67</v>
      </c>
    </row>
    <row r="444" spans="1:11">
      <c r="A444" t="s">
        <v>495</v>
      </c>
      <c r="B444" t="s">
        <v>33</v>
      </c>
      <c r="C444" t="s">
        <v>928</v>
      </c>
      <c r="D444" s="1">
        <v>36</v>
      </c>
      <c r="E444">
        <v>8000</v>
      </c>
      <c r="F444">
        <v>250</v>
      </c>
      <c r="G444" t="s">
        <v>1792</v>
      </c>
      <c r="H444" t="s">
        <v>50</v>
      </c>
      <c r="I444" t="s">
        <v>1793</v>
      </c>
      <c r="J444" t="s">
        <v>56</v>
      </c>
      <c r="K444" t="s">
        <v>66</v>
      </c>
    </row>
    <row r="445" spans="1:11">
      <c r="A445" t="s">
        <v>496</v>
      </c>
      <c r="B445" t="s">
        <v>899</v>
      </c>
      <c r="C445" t="s">
        <v>38</v>
      </c>
      <c r="D445" s="1">
        <v>25</v>
      </c>
      <c r="E445">
        <v>4750</v>
      </c>
      <c r="F445">
        <v>1000</v>
      </c>
      <c r="G445" s="5">
        <v>43533</v>
      </c>
      <c r="H445" t="s">
        <v>1794</v>
      </c>
      <c r="I445" t="s">
        <v>1795</v>
      </c>
      <c r="J445" t="s">
        <v>58</v>
      </c>
      <c r="K445" t="s">
        <v>64</v>
      </c>
    </row>
    <row r="446" spans="1:11">
      <c r="A446" t="s">
        <v>497</v>
      </c>
      <c r="B446" t="s">
        <v>714</v>
      </c>
      <c r="C446" t="s">
        <v>43</v>
      </c>
      <c r="D446" s="1">
        <v>-6</v>
      </c>
      <c r="E446" t="s">
        <v>48</v>
      </c>
      <c r="F446" t="s">
        <v>970</v>
      </c>
      <c r="G446" t="s">
        <v>1796</v>
      </c>
      <c r="H446" t="s">
        <v>1797</v>
      </c>
      <c r="I446">
        <f>974-4863-2991</f>
        <v>-6880</v>
      </c>
      <c r="J446" t="s">
        <v>57</v>
      </c>
      <c r="K446" t="s">
        <v>50</v>
      </c>
    </row>
    <row r="447" spans="1:11">
      <c r="A447" t="s">
        <v>498</v>
      </c>
      <c r="B447" t="s">
        <v>793</v>
      </c>
      <c r="C447" t="s">
        <v>47</v>
      </c>
      <c r="D447" s="1">
        <v>43</v>
      </c>
      <c r="E447">
        <v>7000</v>
      </c>
      <c r="F447" t="s">
        <v>50</v>
      </c>
      <c r="G447" t="s">
        <v>1798</v>
      </c>
      <c r="H447" t="s">
        <v>1799</v>
      </c>
      <c r="I447" t="s">
        <v>1800</v>
      </c>
      <c r="J447" t="s">
        <v>999</v>
      </c>
      <c r="K447" t="s">
        <v>62</v>
      </c>
    </row>
    <row r="448" spans="1:11">
      <c r="A448" t="s">
        <v>499</v>
      </c>
      <c r="B448" t="s">
        <v>900</v>
      </c>
      <c r="C448" t="s">
        <v>35</v>
      </c>
      <c r="D448" s="1" t="s">
        <v>50</v>
      </c>
      <c r="E448">
        <v>6200</v>
      </c>
      <c r="G448" s="5">
        <v>44697</v>
      </c>
      <c r="H448" t="s">
        <v>1059</v>
      </c>
      <c r="I448" t="s">
        <v>1801</v>
      </c>
      <c r="J448" t="s">
        <v>961</v>
      </c>
    </row>
    <row r="449" spans="1:11">
      <c r="A449" t="s">
        <v>500</v>
      </c>
      <c r="B449" t="s">
        <v>901</v>
      </c>
      <c r="C449" t="s">
        <v>925</v>
      </c>
      <c r="D449" s="1" t="s">
        <v>48</v>
      </c>
      <c r="E449">
        <v>5750</v>
      </c>
      <c r="F449">
        <v>-200</v>
      </c>
      <c r="G449" t="s">
        <v>1802</v>
      </c>
      <c r="H449" t="s">
        <v>50</v>
      </c>
      <c r="I449">
        <v>50625467</v>
      </c>
      <c r="J449" t="s">
        <v>1017</v>
      </c>
      <c r="K449" t="s">
        <v>61</v>
      </c>
    </row>
    <row r="450" spans="1:11">
      <c r="A450" t="s">
        <v>501</v>
      </c>
      <c r="B450" t="s">
        <v>902</v>
      </c>
      <c r="C450" t="s">
        <v>42</v>
      </c>
      <c r="D450" s="1">
        <v>29</v>
      </c>
      <c r="E450" t="s">
        <v>50</v>
      </c>
      <c r="F450">
        <v>1000</v>
      </c>
      <c r="G450" s="5">
        <v>44471</v>
      </c>
      <c r="I450">
        <f>974-4106-7589</f>
        <v>-10721</v>
      </c>
      <c r="J450" t="s">
        <v>48</v>
      </c>
      <c r="K450" t="s">
        <v>967</v>
      </c>
    </row>
    <row r="451" spans="1:11">
      <c r="A451" t="s">
        <v>502</v>
      </c>
      <c r="B451" t="s">
        <v>800</v>
      </c>
      <c r="C451" t="s">
        <v>928</v>
      </c>
      <c r="D451" s="1">
        <v>34</v>
      </c>
      <c r="E451">
        <v>8500</v>
      </c>
      <c r="F451" t="s">
        <v>1157</v>
      </c>
      <c r="G451" t="s">
        <v>1803</v>
      </c>
      <c r="H451" t="s">
        <v>1451</v>
      </c>
      <c r="I451">
        <v>47353381</v>
      </c>
      <c r="J451" t="s">
        <v>60</v>
      </c>
      <c r="K451" t="s">
        <v>66</v>
      </c>
    </row>
    <row r="452" spans="1:11">
      <c r="A452" t="s">
        <v>503</v>
      </c>
      <c r="B452" t="s">
        <v>903</v>
      </c>
      <c r="C452" t="s">
        <v>933</v>
      </c>
      <c r="D452" s="1">
        <v>21</v>
      </c>
      <c r="E452">
        <v>4500</v>
      </c>
      <c r="F452" t="s">
        <v>1157</v>
      </c>
      <c r="G452" t="s">
        <v>1804</v>
      </c>
      <c r="H452" t="s">
        <v>1805</v>
      </c>
      <c r="I452" t="s">
        <v>1806</v>
      </c>
      <c r="J452" t="s">
        <v>57</v>
      </c>
      <c r="K452" t="s">
        <v>967</v>
      </c>
    </row>
    <row r="453" spans="1:11">
      <c r="A453" t="s">
        <v>504</v>
      </c>
      <c r="B453" t="s">
        <v>667</v>
      </c>
      <c r="C453" t="s">
        <v>38</v>
      </c>
      <c r="D453" s="1">
        <v>45</v>
      </c>
      <c r="E453" t="s">
        <v>48</v>
      </c>
      <c r="F453">
        <v>1250</v>
      </c>
      <c r="G453" s="5">
        <v>44623</v>
      </c>
      <c r="H453" t="s">
        <v>1807</v>
      </c>
      <c r="I453">
        <f>974-6184-8013</f>
        <v>-13223</v>
      </c>
      <c r="J453" t="s">
        <v>56</v>
      </c>
      <c r="K453" t="s">
        <v>61</v>
      </c>
    </row>
    <row r="454" spans="1:11">
      <c r="A454" t="s">
        <v>505</v>
      </c>
      <c r="B454" t="s">
        <v>642</v>
      </c>
      <c r="C454" t="s">
        <v>35</v>
      </c>
      <c r="D454" s="1" t="s">
        <v>48</v>
      </c>
      <c r="E454">
        <v>6250</v>
      </c>
      <c r="F454">
        <v>500</v>
      </c>
      <c r="G454" t="s">
        <v>1808</v>
      </c>
      <c r="H454" t="s">
        <v>1809</v>
      </c>
      <c r="I454" t="s">
        <v>1810</v>
      </c>
      <c r="J454" t="s">
        <v>977</v>
      </c>
      <c r="K454" t="s">
        <v>61</v>
      </c>
    </row>
    <row r="455" spans="1:11">
      <c r="A455" t="s">
        <v>506</v>
      </c>
      <c r="B455" t="s">
        <v>33</v>
      </c>
      <c r="C455" t="s">
        <v>43</v>
      </c>
      <c r="D455" s="1">
        <v>38</v>
      </c>
      <c r="E455">
        <v>9000</v>
      </c>
      <c r="F455" t="s">
        <v>1157</v>
      </c>
      <c r="G455" s="5">
        <v>44310</v>
      </c>
      <c r="H455" t="s">
        <v>1811</v>
      </c>
      <c r="I455" t="s">
        <v>970</v>
      </c>
      <c r="J455" t="s">
        <v>58</v>
      </c>
    </row>
    <row r="456" spans="1:11">
      <c r="A456" t="s">
        <v>507</v>
      </c>
      <c r="B456" t="s">
        <v>904</v>
      </c>
      <c r="C456" t="s">
        <v>925</v>
      </c>
      <c r="D456" s="1">
        <v>27</v>
      </c>
      <c r="E456">
        <v>-2500</v>
      </c>
      <c r="F456">
        <v>750</v>
      </c>
      <c r="G456" s="5">
        <v>45482</v>
      </c>
      <c r="H456" t="s">
        <v>1302</v>
      </c>
      <c r="I456" t="s">
        <v>1812</v>
      </c>
      <c r="J456" t="s">
        <v>1017</v>
      </c>
      <c r="K456" t="s">
        <v>50</v>
      </c>
    </row>
    <row r="457" spans="1:11">
      <c r="A457" t="s">
        <v>508</v>
      </c>
      <c r="B457" t="s">
        <v>905</v>
      </c>
      <c r="C457" t="s">
        <v>39</v>
      </c>
      <c r="D457" s="1" t="s">
        <v>50</v>
      </c>
      <c r="E457" t="s">
        <v>50</v>
      </c>
      <c r="F457">
        <v>300</v>
      </c>
      <c r="G457" t="s">
        <v>1813</v>
      </c>
      <c r="H457" t="s">
        <v>1814</v>
      </c>
      <c r="I457" t="s">
        <v>1815</v>
      </c>
      <c r="J457" t="s">
        <v>961</v>
      </c>
      <c r="K457" t="s">
        <v>66</v>
      </c>
    </row>
    <row r="458" spans="1:11">
      <c r="A458" t="s">
        <v>509</v>
      </c>
      <c r="B458" t="s">
        <v>906</v>
      </c>
      <c r="C458" t="s">
        <v>928</v>
      </c>
      <c r="D458" s="1">
        <v>31</v>
      </c>
      <c r="E458">
        <v>5000</v>
      </c>
      <c r="F458" t="s">
        <v>50</v>
      </c>
      <c r="G458" t="s">
        <v>1816</v>
      </c>
      <c r="H458" t="s">
        <v>1817</v>
      </c>
      <c r="I458">
        <f>974-5701-6106</f>
        <v>-10833</v>
      </c>
      <c r="J458" t="s">
        <v>50</v>
      </c>
      <c r="K458" t="s">
        <v>62</v>
      </c>
    </row>
    <row r="459" spans="1:11">
      <c r="A459" t="s">
        <v>510</v>
      </c>
      <c r="B459" t="s">
        <v>907</v>
      </c>
      <c r="C459" t="s">
        <v>933</v>
      </c>
      <c r="D459" s="1">
        <v>175</v>
      </c>
      <c r="E459">
        <v>7200</v>
      </c>
      <c r="F459">
        <v>250</v>
      </c>
      <c r="G459" s="5">
        <v>44361</v>
      </c>
      <c r="H459" t="s">
        <v>1818</v>
      </c>
      <c r="I459" t="s">
        <v>1819</v>
      </c>
      <c r="J459" t="s">
        <v>60</v>
      </c>
      <c r="K459" t="s">
        <v>64</v>
      </c>
    </row>
    <row r="460" spans="1:11">
      <c r="A460" t="s">
        <v>511</v>
      </c>
      <c r="B460" t="s">
        <v>585</v>
      </c>
      <c r="C460" t="s">
        <v>35</v>
      </c>
      <c r="D460" s="1">
        <v>42</v>
      </c>
      <c r="E460" t="s">
        <v>48</v>
      </c>
      <c r="F460">
        <v>0</v>
      </c>
      <c r="G460" t="s">
        <v>1820</v>
      </c>
      <c r="H460" t="s">
        <v>1821</v>
      </c>
      <c r="I460" t="s">
        <v>1822</v>
      </c>
      <c r="J460" t="s">
        <v>48</v>
      </c>
      <c r="K460" t="s">
        <v>48</v>
      </c>
    </row>
    <row r="461" spans="1:11">
      <c r="A461" t="s">
        <v>512</v>
      </c>
      <c r="B461" t="s">
        <v>908</v>
      </c>
      <c r="C461" t="s">
        <v>38</v>
      </c>
      <c r="D461" s="1">
        <v>24</v>
      </c>
      <c r="E461">
        <v>7500</v>
      </c>
      <c r="F461" t="s">
        <v>50</v>
      </c>
      <c r="G461" t="s">
        <v>1823</v>
      </c>
      <c r="H461" t="s">
        <v>1824</v>
      </c>
      <c r="I461">
        <f>974-6523-9980</f>
        <v>-15529</v>
      </c>
      <c r="J461" t="s">
        <v>977</v>
      </c>
      <c r="K461" t="s">
        <v>64</v>
      </c>
    </row>
    <row r="462" spans="1:11">
      <c r="A462" t="s">
        <v>513</v>
      </c>
      <c r="B462" t="s">
        <v>706</v>
      </c>
      <c r="C462" t="s">
        <v>43</v>
      </c>
      <c r="D462" s="1" t="s">
        <v>48</v>
      </c>
      <c r="E462">
        <v>5500</v>
      </c>
      <c r="F462">
        <v>750</v>
      </c>
      <c r="G462" t="s">
        <v>1825</v>
      </c>
      <c r="H462" t="s">
        <v>1826</v>
      </c>
      <c r="I462" t="s">
        <v>1827</v>
      </c>
      <c r="J462" t="s">
        <v>999</v>
      </c>
      <c r="K462" t="s">
        <v>63</v>
      </c>
    </row>
    <row r="463" spans="1:11">
      <c r="A463" t="s">
        <v>514</v>
      </c>
      <c r="B463" t="s">
        <v>635</v>
      </c>
      <c r="C463" t="s">
        <v>925</v>
      </c>
      <c r="D463" s="1" t="s">
        <v>952</v>
      </c>
      <c r="E463">
        <v>8000</v>
      </c>
      <c r="F463">
        <v>500</v>
      </c>
      <c r="G463" t="s">
        <v>1828</v>
      </c>
      <c r="H463" t="s">
        <v>1829</v>
      </c>
      <c r="I463" t="s">
        <v>1830</v>
      </c>
      <c r="J463" t="s">
        <v>48</v>
      </c>
      <c r="K463" t="s">
        <v>50</v>
      </c>
    </row>
    <row r="464" spans="1:11">
      <c r="A464" t="s">
        <v>515</v>
      </c>
      <c r="B464" t="s">
        <v>909</v>
      </c>
      <c r="C464" t="s">
        <v>928</v>
      </c>
      <c r="D464" s="1">
        <v>39</v>
      </c>
      <c r="E464" t="s">
        <v>50</v>
      </c>
      <c r="F464">
        <v>750</v>
      </c>
      <c r="G464" s="5">
        <v>43931</v>
      </c>
      <c r="H464" t="s">
        <v>1831</v>
      </c>
      <c r="I464">
        <v>64491999</v>
      </c>
      <c r="J464" t="s">
        <v>977</v>
      </c>
      <c r="K464" t="s">
        <v>996</v>
      </c>
    </row>
    <row r="465" spans="1:11">
      <c r="A465" t="s">
        <v>516</v>
      </c>
      <c r="B465" t="s">
        <v>747</v>
      </c>
      <c r="C465" t="s">
        <v>37</v>
      </c>
      <c r="D465" s="1">
        <v>33</v>
      </c>
      <c r="E465">
        <v>6500</v>
      </c>
      <c r="F465">
        <v>1000</v>
      </c>
      <c r="G465" t="s">
        <v>1003</v>
      </c>
      <c r="H465" t="s">
        <v>1832</v>
      </c>
      <c r="I465">
        <f>974-7977-1000</f>
        <v>-8003</v>
      </c>
      <c r="J465" t="s">
        <v>999</v>
      </c>
      <c r="K465" t="s">
        <v>62</v>
      </c>
    </row>
    <row r="466" spans="1:11">
      <c r="A466" t="s">
        <v>517</v>
      </c>
      <c r="B466" t="s">
        <v>33</v>
      </c>
      <c r="C466" t="s">
        <v>933</v>
      </c>
      <c r="D466" s="1">
        <v>30</v>
      </c>
      <c r="E466" t="s">
        <v>48</v>
      </c>
      <c r="F466">
        <v>500</v>
      </c>
      <c r="G466" s="5">
        <v>43471</v>
      </c>
      <c r="H466" t="s">
        <v>1833</v>
      </c>
      <c r="I466" t="s">
        <v>1834</v>
      </c>
      <c r="J466" t="s">
        <v>48</v>
      </c>
      <c r="K466" t="s">
        <v>66</v>
      </c>
    </row>
    <row r="467" spans="1:11">
      <c r="A467" t="s">
        <v>518</v>
      </c>
      <c r="B467" t="s">
        <v>910</v>
      </c>
      <c r="C467" t="s">
        <v>47</v>
      </c>
      <c r="D467" s="1" t="s">
        <v>50</v>
      </c>
      <c r="E467">
        <v>4800</v>
      </c>
      <c r="F467">
        <v>1000</v>
      </c>
      <c r="G467" s="5">
        <v>45066</v>
      </c>
      <c r="H467" t="s">
        <v>1556</v>
      </c>
      <c r="I467">
        <f>974-4032-1792</f>
        <v>-4850</v>
      </c>
      <c r="J467" t="s">
        <v>56</v>
      </c>
      <c r="K467" t="s">
        <v>61</v>
      </c>
    </row>
    <row r="468" spans="1:11">
      <c r="A468" t="s">
        <v>519</v>
      </c>
      <c r="B468" t="s">
        <v>911</v>
      </c>
      <c r="C468" t="s">
        <v>43</v>
      </c>
      <c r="D468" s="1">
        <v>22</v>
      </c>
      <c r="E468">
        <v>9500</v>
      </c>
      <c r="F468">
        <v>1250</v>
      </c>
      <c r="G468" t="s">
        <v>1137</v>
      </c>
      <c r="H468" t="s">
        <v>1835</v>
      </c>
      <c r="I468" t="s">
        <v>1018</v>
      </c>
      <c r="J468" t="s">
        <v>55</v>
      </c>
      <c r="K468" t="s">
        <v>66</v>
      </c>
    </row>
    <row r="469" spans="1:11">
      <c r="A469" t="s">
        <v>520</v>
      </c>
      <c r="B469" t="s">
        <v>819</v>
      </c>
      <c r="C469" t="s">
        <v>38</v>
      </c>
      <c r="D469" s="1" t="s">
        <v>48</v>
      </c>
      <c r="E469">
        <v>6200</v>
      </c>
      <c r="F469">
        <v>500</v>
      </c>
      <c r="G469" s="5">
        <v>45472</v>
      </c>
      <c r="H469" t="s">
        <v>1528</v>
      </c>
      <c r="I469">
        <v>60232785</v>
      </c>
      <c r="J469" t="s">
        <v>48</v>
      </c>
      <c r="K469" t="s">
        <v>64</v>
      </c>
    </row>
    <row r="470" spans="1:11">
      <c r="A470" t="s">
        <v>521</v>
      </c>
      <c r="B470" t="s">
        <v>912</v>
      </c>
      <c r="C470" t="s">
        <v>928</v>
      </c>
      <c r="D470" s="1">
        <v>46</v>
      </c>
      <c r="E470" t="s">
        <v>50</v>
      </c>
      <c r="F470">
        <v>750</v>
      </c>
      <c r="G470" s="5">
        <v>45613</v>
      </c>
      <c r="H470" t="s">
        <v>1836</v>
      </c>
      <c r="I470">
        <f>974-6307-8049</f>
        <v>-13382</v>
      </c>
      <c r="J470" t="s">
        <v>55</v>
      </c>
      <c r="K470" t="s">
        <v>67</v>
      </c>
    </row>
    <row r="471" spans="1:11">
      <c r="A471" t="s">
        <v>522</v>
      </c>
      <c r="B471" t="s">
        <v>587</v>
      </c>
      <c r="C471" t="s">
        <v>925</v>
      </c>
      <c r="D471" s="1">
        <v>35</v>
      </c>
      <c r="E471">
        <v>6500</v>
      </c>
      <c r="F471" t="s">
        <v>958</v>
      </c>
      <c r="G471" s="5">
        <v>44433</v>
      </c>
      <c r="H471" t="s">
        <v>1837</v>
      </c>
      <c r="I471">
        <v>71195089</v>
      </c>
      <c r="J471" t="s">
        <v>1017</v>
      </c>
      <c r="K471" t="s">
        <v>63</v>
      </c>
    </row>
    <row r="472" spans="1:11">
      <c r="A472" t="s">
        <v>523</v>
      </c>
      <c r="B472" t="s">
        <v>913</v>
      </c>
      <c r="C472" t="s">
        <v>35</v>
      </c>
      <c r="D472" s="1">
        <v>28</v>
      </c>
      <c r="E472">
        <v>4800</v>
      </c>
      <c r="F472">
        <v>500</v>
      </c>
      <c r="G472" s="5">
        <v>45607</v>
      </c>
      <c r="H472" t="s">
        <v>1838</v>
      </c>
      <c r="I472" t="s">
        <v>1839</v>
      </c>
      <c r="J472" t="s">
        <v>54</v>
      </c>
      <c r="K472" t="s">
        <v>62</v>
      </c>
    </row>
    <row r="473" spans="1:11">
      <c r="A473" t="s">
        <v>524</v>
      </c>
      <c r="B473" t="s">
        <v>646</v>
      </c>
      <c r="C473" t="s">
        <v>933</v>
      </c>
      <c r="D473" s="1">
        <v>-3</v>
      </c>
      <c r="E473" t="s">
        <v>48</v>
      </c>
      <c r="F473">
        <v>750</v>
      </c>
      <c r="G473" t="s">
        <v>48</v>
      </c>
      <c r="H473" t="s">
        <v>1840</v>
      </c>
      <c r="I473" t="s">
        <v>1841</v>
      </c>
      <c r="J473" t="s">
        <v>60</v>
      </c>
      <c r="K473" t="s">
        <v>66</v>
      </c>
    </row>
    <row r="474" spans="1:11">
      <c r="A474" t="s">
        <v>525</v>
      </c>
      <c r="B474" t="s">
        <v>789</v>
      </c>
      <c r="C474" t="s">
        <v>43</v>
      </c>
      <c r="D474" s="1">
        <v>41</v>
      </c>
      <c r="E474">
        <v>7200</v>
      </c>
      <c r="F474" s="2">
        <v>500</v>
      </c>
      <c r="G474" s="5">
        <v>44677</v>
      </c>
      <c r="H474" t="s">
        <v>1842</v>
      </c>
      <c r="I474" t="s">
        <v>1843</v>
      </c>
      <c r="J474" t="s">
        <v>48</v>
      </c>
      <c r="K474" t="s">
        <v>61</v>
      </c>
    </row>
    <row r="475" spans="1:11">
      <c r="A475" t="s">
        <v>526</v>
      </c>
      <c r="B475" t="s">
        <v>914</v>
      </c>
      <c r="C475" t="s">
        <v>39</v>
      </c>
      <c r="D475" s="1" t="s">
        <v>50</v>
      </c>
      <c r="E475">
        <v>5500</v>
      </c>
      <c r="F475">
        <v>1000</v>
      </c>
      <c r="G475" s="5">
        <v>44929</v>
      </c>
      <c r="H475" t="s">
        <v>1844</v>
      </c>
      <c r="I475" t="s">
        <v>1845</v>
      </c>
      <c r="J475" t="s">
        <v>48</v>
      </c>
      <c r="K475" t="s">
        <v>68</v>
      </c>
    </row>
    <row r="476" spans="1:11">
      <c r="A476" t="s">
        <v>527</v>
      </c>
      <c r="B476" t="s">
        <v>915</v>
      </c>
      <c r="C476" t="s">
        <v>38</v>
      </c>
      <c r="D476" s="1" t="s">
        <v>48</v>
      </c>
      <c r="E476">
        <v>-1000</v>
      </c>
      <c r="F476" t="s">
        <v>1014</v>
      </c>
      <c r="G476" s="5">
        <v>43474</v>
      </c>
      <c r="H476" t="s">
        <v>1846</v>
      </c>
      <c r="I476" t="s">
        <v>1847</v>
      </c>
      <c r="J476" t="s">
        <v>57</v>
      </c>
      <c r="K476" t="s">
        <v>61</v>
      </c>
    </row>
    <row r="477" spans="1:11">
      <c r="A477" t="s">
        <v>528</v>
      </c>
      <c r="B477" t="s">
        <v>33</v>
      </c>
      <c r="C477" t="s">
        <v>35</v>
      </c>
      <c r="D477" s="1">
        <v>25</v>
      </c>
      <c r="E477" t="s">
        <v>50</v>
      </c>
      <c r="F477" t="s">
        <v>1055</v>
      </c>
      <c r="G477" t="s">
        <v>1848</v>
      </c>
      <c r="H477" t="s">
        <v>1849</v>
      </c>
      <c r="I477" t="s">
        <v>1850</v>
      </c>
      <c r="J477" t="s">
        <v>60</v>
      </c>
      <c r="K477" t="s">
        <v>61</v>
      </c>
    </row>
    <row r="478" spans="1:11">
      <c r="A478" t="s">
        <v>529</v>
      </c>
      <c r="B478" t="s">
        <v>916</v>
      </c>
      <c r="C478" t="s">
        <v>928</v>
      </c>
      <c r="D478" s="1">
        <v>37</v>
      </c>
      <c r="E478">
        <v>8250</v>
      </c>
      <c r="F478">
        <v>300</v>
      </c>
      <c r="G478" s="5">
        <v>44970</v>
      </c>
      <c r="H478" t="s">
        <v>1851</v>
      </c>
      <c r="I478" t="s">
        <v>1852</v>
      </c>
      <c r="J478" t="s">
        <v>1017</v>
      </c>
      <c r="K478" t="s">
        <v>62</v>
      </c>
    </row>
    <row r="479" spans="1:11">
      <c r="A479" t="s">
        <v>530</v>
      </c>
      <c r="B479" t="s">
        <v>579</v>
      </c>
      <c r="C479" t="s">
        <v>925</v>
      </c>
      <c r="D479" s="1">
        <v>19</v>
      </c>
      <c r="E479">
        <v>6500</v>
      </c>
      <c r="F479">
        <v>300</v>
      </c>
      <c r="G479" t="s">
        <v>1853</v>
      </c>
      <c r="H479" t="s">
        <v>1854</v>
      </c>
      <c r="I479" t="s">
        <v>1855</v>
      </c>
      <c r="J479" t="s">
        <v>48</v>
      </c>
      <c r="K479" t="s">
        <v>48</v>
      </c>
    </row>
    <row r="480" spans="1:11">
      <c r="A480" t="s">
        <v>531</v>
      </c>
      <c r="B480" t="s">
        <v>678</v>
      </c>
      <c r="C480" t="s">
        <v>42</v>
      </c>
      <c r="D480" s="1">
        <v>44</v>
      </c>
      <c r="E480" t="s">
        <v>48</v>
      </c>
      <c r="F480" s="2">
        <v>750</v>
      </c>
      <c r="G480" t="s">
        <v>1856</v>
      </c>
      <c r="H480" t="s">
        <v>1857</v>
      </c>
      <c r="I480">
        <f>974-3923-9757</f>
        <v>-12706</v>
      </c>
      <c r="J480" t="s">
        <v>55</v>
      </c>
      <c r="K480" t="s">
        <v>50</v>
      </c>
    </row>
    <row r="481" spans="1:11">
      <c r="A481" t="s">
        <v>532</v>
      </c>
      <c r="B481" t="s">
        <v>738</v>
      </c>
      <c r="C481" t="s">
        <v>933</v>
      </c>
      <c r="D481" s="1" t="s">
        <v>48</v>
      </c>
      <c r="E481">
        <v>5250</v>
      </c>
      <c r="F481">
        <v>-50</v>
      </c>
      <c r="G481" t="s">
        <v>1858</v>
      </c>
      <c r="H481" t="s">
        <v>1859</v>
      </c>
      <c r="I481">
        <v>31451732</v>
      </c>
      <c r="J481" t="s">
        <v>58</v>
      </c>
      <c r="K481" t="s">
        <v>48</v>
      </c>
    </row>
    <row r="482" spans="1:11">
      <c r="A482" t="s">
        <v>533</v>
      </c>
      <c r="B482" t="s">
        <v>692</v>
      </c>
      <c r="C482" t="s">
        <v>43</v>
      </c>
      <c r="D482" s="1">
        <v>31</v>
      </c>
      <c r="E482">
        <v>9000</v>
      </c>
      <c r="F482" t="s">
        <v>48</v>
      </c>
      <c r="G482" t="s">
        <v>1860</v>
      </c>
      <c r="H482" t="s">
        <v>1861</v>
      </c>
      <c r="I482" t="s">
        <v>1862</v>
      </c>
      <c r="J482" t="s">
        <v>55</v>
      </c>
      <c r="K482" t="s">
        <v>48</v>
      </c>
    </row>
    <row r="483" spans="1:11">
      <c r="A483" t="s">
        <v>534</v>
      </c>
      <c r="B483" t="s">
        <v>917</v>
      </c>
      <c r="C483" t="s">
        <v>37</v>
      </c>
      <c r="D483" s="1">
        <v>26</v>
      </c>
      <c r="E483">
        <v>6000</v>
      </c>
      <c r="F483">
        <v>-50</v>
      </c>
      <c r="G483" s="5">
        <v>44082</v>
      </c>
      <c r="I483">
        <f>974-4460-9570</f>
        <v>-13056</v>
      </c>
      <c r="J483" t="s">
        <v>54</v>
      </c>
      <c r="K483" t="s">
        <v>996</v>
      </c>
    </row>
    <row r="484" spans="1:11">
      <c r="A484" t="s">
        <v>535</v>
      </c>
      <c r="B484" t="s">
        <v>756</v>
      </c>
      <c r="C484" t="s">
        <v>47</v>
      </c>
      <c r="D484" s="1" t="s">
        <v>50</v>
      </c>
      <c r="E484" t="s">
        <v>50</v>
      </c>
      <c r="F484">
        <v>0</v>
      </c>
      <c r="G484" s="5">
        <v>44512</v>
      </c>
      <c r="H484" t="s">
        <v>1863</v>
      </c>
      <c r="I484">
        <f>974-4801-3564</f>
        <v>-7391</v>
      </c>
      <c r="K484" t="s">
        <v>50</v>
      </c>
    </row>
    <row r="485" spans="1:11">
      <c r="A485" t="s">
        <v>536</v>
      </c>
      <c r="B485" t="s">
        <v>918</v>
      </c>
      <c r="C485" t="s">
        <v>928</v>
      </c>
      <c r="D485" s="1">
        <v>40</v>
      </c>
      <c r="E485">
        <v>7200</v>
      </c>
      <c r="F485" s="2">
        <v>500</v>
      </c>
      <c r="G485" s="5">
        <v>44965</v>
      </c>
      <c r="H485" t="s">
        <v>1864</v>
      </c>
      <c r="I485" t="s">
        <v>1865</v>
      </c>
      <c r="J485" t="s">
        <v>58</v>
      </c>
      <c r="K485" t="s">
        <v>64</v>
      </c>
    </row>
    <row r="486" spans="1:11">
      <c r="A486" t="s">
        <v>537</v>
      </c>
      <c r="B486" t="s">
        <v>669</v>
      </c>
      <c r="C486" t="s">
        <v>38</v>
      </c>
      <c r="D486" s="1">
        <v>160</v>
      </c>
      <c r="E486" t="s">
        <v>48</v>
      </c>
      <c r="G486" t="s">
        <v>1866</v>
      </c>
      <c r="H486" t="s">
        <v>1867</v>
      </c>
      <c r="J486" t="s">
        <v>48</v>
      </c>
      <c r="K486" t="s">
        <v>62</v>
      </c>
    </row>
    <row r="487" spans="1:11">
      <c r="A487" t="s">
        <v>538</v>
      </c>
      <c r="B487" t="s">
        <v>723</v>
      </c>
      <c r="C487" t="s">
        <v>925</v>
      </c>
      <c r="D487" s="1">
        <v>34</v>
      </c>
      <c r="E487">
        <v>4500</v>
      </c>
      <c r="F487" t="s">
        <v>1003</v>
      </c>
      <c r="G487" t="s">
        <v>1868</v>
      </c>
      <c r="H487" t="s">
        <v>1869</v>
      </c>
      <c r="I487" t="s">
        <v>1870</v>
      </c>
      <c r="J487" t="s">
        <v>59</v>
      </c>
      <c r="K487" t="s">
        <v>65</v>
      </c>
    </row>
    <row r="488" spans="1:11">
      <c r="A488" t="s">
        <v>539</v>
      </c>
      <c r="B488" t="s">
        <v>33</v>
      </c>
      <c r="C488" t="s">
        <v>35</v>
      </c>
      <c r="D488" s="1">
        <v>23</v>
      </c>
      <c r="E488">
        <v>7750</v>
      </c>
      <c r="F488">
        <v>-200</v>
      </c>
      <c r="G488" t="s">
        <v>1871</v>
      </c>
      <c r="H488" t="s">
        <v>1872</v>
      </c>
      <c r="I488" t="s">
        <v>1873</v>
      </c>
      <c r="J488" t="s">
        <v>59</v>
      </c>
      <c r="K488" t="s">
        <v>48</v>
      </c>
    </row>
    <row r="489" spans="1:11">
      <c r="A489" t="s">
        <v>540</v>
      </c>
      <c r="B489" t="s">
        <v>919</v>
      </c>
      <c r="C489" t="s">
        <v>43</v>
      </c>
      <c r="D489" s="1" t="s">
        <v>48</v>
      </c>
      <c r="E489">
        <v>5200</v>
      </c>
      <c r="F489">
        <v>-50</v>
      </c>
      <c r="G489" t="s">
        <v>1874</v>
      </c>
      <c r="H489" t="s">
        <v>1875</v>
      </c>
      <c r="I489">
        <v>39632432</v>
      </c>
      <c r="J489" t="s">
        <v>55</v>
      </c>
      <c r="K489" t="s">
        <v>67</v>
      </c>
    </row>
    <row r="490" spans="1:11">
      <c r="A490" t="s">
        <v>541</v>
      </c>
      <c r="B490" t="s">
        <v>920</v>
      </c>
      <c r="C490" t="s">
        <v>933</v>
      </c>
      <c r="D490" s="1" t="s">
        <v>948</v>
      </c>
      <c r="E490" t="s">
        <v>50</v>
      </c>
      <c r="F490">
        <v>500</v>
      </c>
      <c r="G490" t="s">
        <v>1876</v>
      </c>
      <c r="H490" t="s">
        <v>1877</v>
      </c>
      <c r="I490" t="s">
        <v>1878</v>
      </c>
      <c r="J490" t="s">
        <v>48</v>
      </c>
      <c r="K490" t="s">
        <v>996</v>
      </c>
    </row>
    <row r="491" spans="1:11">
      <c r="A491" t="s">
        <v>542</v>
      </c>
      <c r="B491" t="s">
        <v>921</v>
      </c>
      <c r="C491" t="s">
        <v>928</v>
      </c>
      <c r="D491" s="1">
        <v>42</v>
      </c>
      <c r="E491">
        <v>8500</v>
      </c>
      <c r="F491">
        <v>250</v>
      </c>
      <c r="G491" s="5">
        <v>45010</v>
      </c>
      <c r="H491" t="s">
        <v>1551</v>
      </c>
      <c r="I491" t="s">
        <v>1879</v>
      </c>
      <c r="J491" t="s">
        <v>56</v>
      </c>
      <c r="K491" t="s">
        <v>68</v>
      </c>
    </row>
    <row r="492" spans="1:11">
      <c r="A492" t="s">
        <v>543</v>
      </c>
      <c r="B492" t="s">
        <v>762</v>
      </c>
      <c r="C492" t="s">
        <v>38</v>
      </c>
      <c r="D492" s="1">
        <v>29</v>
      </c>
      <c r="E492">
        <v>6500</v>
      </c>
      <c r="F492">
        <v>500</v>
      </c>
      <c r="G492" t="s">
        <v>1221</v>
      </c>
      <c r="H492" t="s">
        <v>1880</v>
      </c>
      <c r="I492" t="s">
        <v>1881</v>
      </c>
      <c r="K492" t="s">
        <v>65</v>
      </c>
    </row>
    <row r="493" spans="1:11">
      <c r="A493" t="s">
        <v>544</v>
      </c>
      <c r="B493" t="s">
        <v>814</v>
      </c>
      <c r="C493" t="s">
        <v>35</v>
      </c>
      <c r="D493" s="1">
        <v>36</v>
      </c>
      <c r="E493" t="s">
        <v>48</v>
      </c>
      <c r="F493" t="s">
        <v>50</v>
      </c>
      <c r="G493" t="s">
        <v>1882</v>
      </c>
      <c r="H493" t="s">
        <v>1278</v>
      </c>
      <c r="I493">
        <v>61387776</v>
      </c>
      <c r="J493" t="s">
        <v>60</v>
      </c>
      <c r="K493" t="s">
        <v>64</v>
      </c>
    </row>
    <row r="494" spans="1:11">
      <c r="A494" t="s">
        <v>545</v>
      </c>
      <c r="B494" t="s">
        <v>922</v>
      </c>
      <c r="C494" t="s">
        <v>925</v>
      </c>
      <c r="D494" s="1" t="s">
        <v>50</v>
      </c>
      <c r="E494">
        <v>5500</v>
      </c>
      <c r="F494">
        <v>500</v>
      </c>
      <c r="G494" s="5">
        <v>45294</v>
      </c>
      <c r="H494" t="s">
        <v>1036</v>
      </c>
      <c r="I494" t="s">
        <v>970</v>
      </c>
      <c r="J494" t="s">
        <v>60</v>
      </c>
      <c r="K494" t="s">
        <v>50</v>
      </c>
    </row>
    <row r="495" spans="1:11">
      <c r="A495" t="s">
        <v>546</v>
      </c>
      <c r="B495" t="s">
        <v>612</v>
      </c>
      <c r="C495" t="s">
        <v>39</v>
      </c>
      <c r="D495" s="1">
        <v>18</v>
      </c>
      <c r="E495">
        <v>9000</v>
      </c>
      <c r="F495" t="s">
        <v>33</v>
      </c>
      <c r="G495" s="5">
        <v>44341</v>
      </c>
      <c r="I495" t="s">
        <v>1883</v>
      </c>
      <c r="J495" t="s">
        <v>977</v>
      </c>
      <c r="K495" t="s">
        <v>48</v>
      </c>
    </row>
    <row r="496" spans="1:11">
      <c r="A496" t="s">
        <v>547</v>
      </c>
      <c r="B496" t="s">
        <v>923</v>
      </c>
      <c r="C496" t="s">
        <v>43</v>
      </c>
      <c r="D496" s="1" t="s">
        <v>48</v>
      </c>
      <c r="E496">
        <v>6250</v>
      </c>
      <c r="F496">
        <v>500</v>
      </c>
      <c r="G496" t="s">
        <v>978</v>
      </c>
      <c r="H496" t="s">
        <v>1884</v>
      </c>
      <c r="I496">
        <v>61054008</v>
      </c>
      <c r="J496" t="s">
        <v>58</v>
      </c>
      <c r="K496" t="s">
        <v>996</v>
      </c>
    </row>
    <row r="497" spans="1:11">
      <c r="A497" t="s">
        <v>548</v>
      </c>
      <c r="B497" t="s">
        <v>626</v>
      </c>
      <c r="C497" t="s">
        <v>933</v>
      </c>
      <c r="D497" s="1">
        <v>45</v>
      </c>
      <c r="E497" t="s">
        <v>50</v>
      </c>
      <c r="F497">
        <v>-50</v>
      </c>
      <c r="G497" s="5">
        <v>43505</v>
      </c>
      <c r="H497" t="s">
        <v>993</v>
      </c>
      <c r="I497">
        <v>31753140</v>
      </c>
      <c r="J497" t="s">
        <v>58</v>
      </c>
      <c r="K497" t="s">
        <v>62</v>
      </c>
    </row>
    <row r="498" spans="1:11">
      <c r="A498" t="s">
        <v>549</v>
      </c>
      <c r="B498" t="s">
        <v>924</v>
      </c>
      <c r="C498" t="s">
        <v>37</v>
      </c>
      <c r="D498" s="1">
        <v>32</v>
      </c>
      <c r="E498">
        <v>4800</v>
      </c>
      <c r="F498">
        <v>1000</v>
      </c>
      <c r="G498" t="s">
        <v>1885</v>
      </c>
      <c r="H498" t="s">
        <v>1886</v>
      </c>
      <c r="I498" t="s">
        <v>1887</v>
      </c>
      <c r="J498" t="s">
        <v>59</v>
      </c>
      <c r="K498" t="s">
        <v>62</v>
      </c>
    </row>
    <row r="499" spans="1:11">
      <c r="A499" t="s">
        <v>550</v>
      </c>
      <c r="B499" t="s">
        <v>33</v>
      </c>
      <c r="C499" t="s">
        <v>928</v>
      </c>
      <c r="D499" s="1">
        <v>27</v>
      </c>
      <c r="E499" t="s">
        <v>48</v>
      </c>
      <c r="F499">
        <v>300</v>
      </c>
      <c r="G499" s="5">
        <v>44180</v>
      </c>
      <c r="H499" t="s">
        <v>1888</v>
      </c>
      <c r="I499" t="s">
        <v>1889</v>
      </c>
      <c r="J499" t="s">
        <v>55</v>
      </c>
      <c r="K499" t="s">
        <v>63</v>
      </c>
    </row>
    <row r="500" spans="1:11">
      <c r="A500" t="s">
        <v>551</v>
      </c>
      <c r="B500" t="s">
        <v>731</v>
      </c>
      <c r="C500" t="s">
        <v>925</v>
      </c>
      <c r="D500" s="1">
        <v>38</v>
      </c>
      <c r="E500">
        <v>6200</v>
      </c>
      <c r="G500" t="s">
        <v>1890</v>
      </c>
      <c r="H500" t="s">
        <v>1008</v>
      </c>
      <c r="I500" t="s">
        <v>1891</v>
      </c>
      <c r="J500" t="s">
        <v>999</v>
      </c>
      <c r="K500" t="s">
        <v>64</v>
      </c>
    </row>
    <row r="501" spans="1:11">
      <c r="A501" t="s">
        <v>551</v>
      </c>
      <c r="B501" t="s">
        <v>731</v>
      </c>
      <c r="C501" t="s">
        <v>925</v>
      </c>
      <c r="D501" s="1">
        <v>38</v>
      </c>
      <c r="E501">
        <v>6200</v>
      </c>
      <c r="G501" t="s">
        <v>1890</v>
      </c>
      <c r="H501" t="s">
        <v>1008</v>
      </c>
      <c r="I501" t="s">
        <v>1891</v>
      </c>
      <c r="J501" t="s">
        <v>999</v>
      </c>
      <c r="K501" t="s">
        <v>64</v>
      </c>
    </row>
  </sheetData>
  <hyperlinks>
    <hyperlink ref="H4" r:id="rId1" xr:uid="{343C0C78-8CA2-4638-85AD-743B33841C1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2026-07-29T16:15:44Z</dcterms:created>
  <dcterms:modified xsi:type="dcterms:W3CDTF">2026-10-25T14:49:39Z</dcterms:modified>
</cp:coreProperties>
</file>